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versity\ada\Proyecto-ADA-2025\"/>
    </mc:Choice>
  </mc:AlternateContent>
  <xr:revisionPtr revIDLastSave="0" documentId="13_ncr:1_{212AEF20-23B8-4B68-BBDD-EB4B146E7DE5}" xr6:coauthVersionLast="47" xr6:coauthVersionMax="47" xr10:uidLastSave="{00000000-0000-0000-0000-000000000000}"/>
  <bookViews>
    <workbookView xWindow="-120" yWindow="-120" windowWidth="38640" windowHeight="21840" firstSheet="3" activeTab="7" xr2:uid="{00000000-000D-0000-FFFF-FFFF00000000}"/>
  </bookViews>
  <sheets>
    <sheet name="Plantilla" sheetId="14" r:id="rId1"/>
    <sheet name="3 Elementos" sheetId="9" r:id="rId2"/>
    <sheet name="5 Elementos" sheetId="12" r:id="rId3"/>
    <sheet name="10 Elementos" sheetId="13" r:id="rId4"/>
    <sheet name="15 Elementos" sheetId="15" r:id="rId5"/>
    <sheet name="20 Elementos" sheetId="16" r:id="rId6"/>
    <sheet name="21 Elementos" sheetId="17" r:id="rId7"/>
    <sheet name="Resumen" sheetId="18" r:id="rId8"/>
    <sheet name="Especificaciones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oNDZ1K2ok2dz+6TLejnorV9AwdEzTjVu/G6dSvSVqng="/>
    </ext>
  </extLst>
</workbook>
</file>

<file path=xl/calcChain.xml><?xml version="1.0" encoding="utf-8"?>
<calcChain xmlns="http://schemas.openxmlformats.org/spreadsheetml/2006/main">
  <c r="AE39" i="16" l="1"/>
  <c r="AC39" i="16"/>
  <c r="AA39" i="16"/>
  <c r="AE38" i="16"/>
  <c r="AC38" i="16"/>
  <c r="AA38" i="16"/>
  <c r="Y38" i="16"/>
  <c r="J32" i="18"/>
  <c r="I32" i="18"/>
  <c r="M3" i="17"/>
  <c r="F32" i="18"/>
  <c r="D32" i="18"/>
  <c r="B32" i="18"/>
  <c r="J29" i="18"/>
  <c r="J30" i="18"/>
  <c r="J31" i="18"/>
  <c r="J28" i="18"/>
  <c r="I29" i="18"/>
  <c r="I30" i="18"/>
  <c r="I31" i="18"/>
  <c r="I28" i="18"/>
  <c r="L10" i="17"/>
  <c r="M10" i="17"/>
  <c r="L11" i="17"/>
  <c r="M11" i="17"/>
  <c r="L12" i="17"/>
  <c r="M12" i="17"/>
  <c r="L13" i="17"/>
  <c r="M13" i="17"/>
  <c r="L14" i="17"/>
  <c r="M14" i="17"/>
  <c r="L15" i="17"/>
  <c r="M15" i="17"/>
  <c r="L16" i="17"/>
  <c r="M16" i="17"/>
  <c r="L17" i="17"/>
  <c r="M17" i="17"/>
  <c r="L18" i="17"/>
  <c r="M18" i="17"/>
  <c r="L19" i="17"/>
  <c r="M19" i="17"/>
  <c r="L20" i="17"/>
  <c r="M20" i="17"/>
  <c r="L21" i="17"/>
  <c r="M21" i="17"/>
  <c r="L22" i="17"/>
  <c r="M22" i="17"/>
  <c r="L23" i="17"/>
  <c r="M23" i="17"/>
  <c r="L24" i="17"/>
  <c r="M24" i="17"/>
  <c r="L25" i="17"/>
  <c r="M25" i="17"/>
  <c r="L26" i="17"/>
  <c r="M26" i="17"/>
  <c r="L27" i="17"/>
  <c r="M27" i="17"/>
  <c r="L28" i="17"/>
  <c r="M28" i="17"/>
  <c r="L29" i="17"/>
  <c r="M29" i="17"/>
  <c r="L30" i="17"/>
  <c r="M30" i="17"/>
  <c r="L31" i="17"/>
  <c r="M31" i="17"/>
  <c r="L32" i="17"/>
  <c r="M32" i="17"/>
  <c r="L33" i="17"/>
  <c r="M33" i="17"/>
  <c r="L34" i="17"/>
  <c r="M34" i="17"/>
  <c r="L35" i="17"/>
  <c r="M35" i="17"/>
  <c r="L36" i="17"/>
  <c r="M36" i="17"/>
  <c r="L37" i="17"/>
  <c r="M37" i="17"/>
  <c r="L38" i="17"/>
  <c r="M38" i="17"/>
  <c r="L39" i="17"/>
  <c r="M39" i="17"/>
  <c r="L40" i="17"/>
  <c r="M40" i="17"/>
  <c r="L41" i="17"/>
  <c r="M41" i="17"/>
  <c r="L42" i="17"/>
  <c r="M42" i="17"/>
  <c r="L43" i="17"/>
  <c r="M43" i="17"/>
  <c r="L44" i="17"/>
  <c r="M44" i="17"/>
  <c r="L45" i="17"/>
  <c r="M45" i="17"/>
  <c r="L46" i="17"/>
  <c r="M46" i="17"/>
  <c r="L47" i="17"/>
  <c r="M47" i="17"/>
  <c r="L48" i="17"/>
  <c r="M48" i="17"/>
  <c r="L49" i="17"/>
  <c r="M49" i="17"/>
  <c r="L50" i="17"/>
  <c r="M50" i="17"/>
  <c r="L51" i="17"/>
  <c r="M51" i="17"/>
  <c r="M9" i="17"/>
  <c r="L9" i="17"/>
  <c r="R51" i="15"/>
  <c r="V52" i="16"/>
  <c r="V53" i="16"/>
  <c r="V54" i="16"/>
  <c r="T52" i="16"/>
  <c r="T53" i="16"/>
  <c r="T54" i="16"/>
  <c r="T4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V4" i="16"/>
  <c r="V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3" i="16"/>
  <c r="U3" i="16"/>
  <c r="T3" i="16"/>
  <c r="J18" i="18"/>
  <c r="I18" i="18"/>
  <c r="H18" i="18"/>
  <c r="E18" i="18"/>
  <c r="G18" i="18"/>
  <c r="F18" i="18"/>
  <c r="G17" i="18"/>
  <c r="G16" i="18"/>
  <c r="G15" i="18"/>
  <c r="F17" i="18"/>
  <c r="F16" i="18"/>
  <c r="F15" i="18"/>
  <c r="E17" i="18"/>
  <c r="E16" i="18"/>
  <c r="E15" i="18"/>
  <c r="C20" i="18"/>
  <c r="B20" i="18"/>
  <c r="C17" i="18"/>
  <c r="B17" i="18"/>
  <c r="D20" i="18"/>
  <c r="D17" i="18"/>
  <c r="D16" i="18"/>
  <c r="C16" i="18"/>
  <c r="B16" i="18"/>
  <c r="D15" i="18"/>
  <c r="C15" i="18"/>
  <c r="B15" i="18"/>
  <c r="G6" i="18"/>
  <c r="G5" i="18"/>
  <c r="G4" i="18"/>
  <c r="F6" i="18"/>
  <c r="F5" i="18"/>
  <c r="F4" i="18"/>
  <c r="E6" i="18"/>
  <c r="E5" i="18"/>
  <c r="E4" i="18"/>
  <c r="J7" i="18"/>
  <c r="I7" i="18"/>
  <c r="H7" i="18"/>
  <c r="G7" i="18"/>
  <c r="F7" i="18"/>
  <c r="E7" i="18"/>
  <c r="B4" i="18"/>
  <c r="D7" i="18"/>
  <c r="D6" i="18"/>
  <c r="D5" i="18"/>
  <c r="D4" i="18"/>
  <c r="C7" i="18"/>
  <c r="C6" i="18"/>
  <c r="C5" i="18"/>
  <c r="C4" i="18"/>
  <c r="B7" i="18"/>
  <c r="B6" i="18"/>
  <c r="B5" i="18"/>
  <c r="L3" i="17"/>
  <c r="M8" i="17"/>
  <c r="L8" i="17"/>
  <c r="M7" i="17"/>
  <c r="L7" i="17"/>
  <c r="M6" i="17"/>
  <c r="L6" i="17"/>
  <c r="M5" i="17"/>
  <c r="L5" i="17"/>
  <c r="M4" i="17"/>
  <c r="L4" i="17"/>
  <c r="N52" i="9"/>
  <c r="U35" i="16"/>
  <c r="S35" i="16"/>
  <c r="R4" i="16"/>
  <c r="S14" i="16"/>
  <c r="U4" i="16"/>
  <c r="U5" i="16"/>
  <c r="U6" i="16"/>
  <c r="U7" i="16"/>
  <c r="U8" i="16"/>
  <c r="U9" i="16"/>
  <c r="U10" i="16"/>
  <c r="U11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6" i="16"/>
  <c r="U37" i="16"/>
  <c r="U38" i="16"/>
  <c r="U39" i="16"/>
  <c r="U40" i="16"/>
  <c r="U41" i="16"/>
  <c r="U42" i="16"/>
  <c r="U43" i="16"/>
  <c r="U44" i="16"/>
  <c r="U45" i="16"/>
  <c r="U46" i="16"/>
  <c r="U47" i="16"/>
  <c r="U48" i="16"/>
  <c r="U49" i="16"/>
  <c r="U50" i="16"/>
  <c r="U51" i="16"/>
  <c r="Q4" i="16"/>
  <c r="Q5" i="16"/>
  <c r="Q6" i="16"/>
  <c r="Q7" i="16"/>
  <c r="Q8" i="16"/>
  <c r="Q9" i="16"/>
  <c r="Q10" i="16"/>
  <c r="Q11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T4" i="15"/>
  <c r="T5" i="15"/>
  <c r="T6" i="15"/>
  <c r="T7" i="15"/>
  <c r="T8" i="15"/>
  <c r="T9" i="15"/>
  <c r="T10" i="15"/>
  <c r="T11" i="15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33" i="15"/>
  <c r="T34" i="15"/>
  <c r="T35" i="15"/>
  <c r="T36" i="15"/>
  <c r="T37" i="15"/>
  <c r="T38" i="15"/>
  <c r="T39" i="15"/>
  <c r="T40" i="15"/>
  <c r="T41" i="15"/>
  <c r="T42" i="15"/>
  <c r="T43" i="15"/>
  <c r="T44" i="15"/>
  <c r="T45" i="15"/>
  <c r="T46" i="15"/>
  <c r="T47" i="15"/>
  <c r="T48" i="15"/>
  <c r="T49" i="15"/>
  <c r="T50" i="15"/>
  <c r="T51" i="15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T3" i="15"/>
  <c r="Q3" i="16"/>
  <c r="Q3" i="15"/>
  <c r="T4" i="14"/>
  <c r="T5" i="14"/>
  <c r="T6" i="14"/>
  <c r="T7" i="14"/>
  <c r="T8" i="14"/>
  <c r="T9" i="14"/>
  <c r="T10" i="14"/>
  <c r="T11" i="14"/>
  <c r="T12" i="14"/>
  <c r="T53" i="14" s="1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3" i="14"/>
  <c r="Q4" i="14"/>
  <c r="Q3" i="14"/>
  <c r="Q5" i="14"/>
  <c r="Q6" i="14"/>
  <c r="Q7" i="14"/>
  <c r="Q53" i="14" s="1"/>
  <c r="Q8" i="14"/>
  <c r="Q9" i="14"/>
  <c r="Q10" i="14"/>
  <c r="Q11" i="14"/>
  <c r="Q12" i="14"/>
  <c r="Q55" i="14" s="1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O4" i="16"/>
  <c r="O3" i="16"/>
  <c r="P3" i="16"/>
  <c r="R3" i="16"/>
  <c r="S3" i="16"/>
  <c r="P4" i="16"/>
  <c r="S4" i="16"/>
  <c r="O5" i="16"/>
  <c r="P5" i="16"/>
  <c r="R5" i="16"/>
  <c r="S5" i="16"/>
  <c r="O7" i="15"/>
  <c r="S51" i="16"/>
  <c r="R51" i="16"/>
  <c r="P51" i="16"/>
  <c r="O51" i="16"/>
  <c r="S50" i="16"/>
  <c r="R50" i="16"/>
  <c r="P50" i="16"/>
  <c r="O50" i="16"/>
  <c r="S49" i="16"/>
  <c r="R49" i="16"/>
  <c r="P49" i="16"/>
  <c r="O49" i="16"/>
  <c r="S48" i="16"/>
  <c r="R48" i="16"/>
  <c r="P48" i="16"/>
  <c r="O48" i="16"/>
  <c r="S47" i="16"/>
  <c r="R47" i="16"/>
  <c r="P47" i="16"/>
  <c r="O47" i="16"/>
  <c r="S46" i="16"/>
  <c r="R46" i="16"/>
  <c r="P46" i="16"/>
  <c r="O46" i="16"/>
  <c r="S45" i="16"/>
  <c r="R45" i="16"/>
  <c r="P45" i="16"/>
  <c r="O45" i="16"/>
  <c r="S44" i="16"/>
  <c r="R44" i="16"/>
  <c r="P44" i="16"/>
  <c r="O44" i="16"/>
  <c r="S43" i="16"/>
  <c r="R43" i="16"/>
  <c r="P43" i="16"/>
  <c r="O43" i="16"/>
  <c r="S42" i="16"/>
  <c r="R42" i="16"/>
  <c r="P42" i="16"/>
  <c r="O42" i="16"/>
  <c r="S41" i="16"/>
  <c r="R41" i="16"/>
  <c r="P41" i="16"/>
  <c r="O41" i="16"/>
  <c r="S40" i="16"/>
  <c r="R40" i="16"/>
  <c r="P40" i="16"/>
  <c r="O40" i="16"/>
  <c r="S39" i="16"/>
  <c r="R39" i="16"/>
  <c r="P39" i="16"/>
  <c r="O39" i="16"/>
  <c r="S38" i="16"/>
  <c r="R38" i="16"/>
  <c r="P38" i="16"/>
  <c r="O38" i="16"/>
  <c r="S37" i="16"/>
  <c r="R37" i="16"/>
  <c r="P37" i="16"/>
  <c r="O37" i="16"/>
  <c r="S36" i="16"/>
  <c r="R36" i="16"/>
  <c r="P36" i="16"/>
  <c r="O36" i="16"/>
  <c r="R35" i="16"/>
  <c r="P35" i="16"/>
  <c r="O35" i="16"/>
  <c r="S34" i="16"/>
  <c r="R34" i="16"/>
  <c r="P34" i="16"/>
  <c r="O34" i="16"/>
  <c r="S33" i="16"/>
  <c r="R33" i="16"/>
  <c r="P33" i="16"/>
  <c r="O33" i="16"/>
  <c r="S32" i="16"/>
  <c r="R32" i="16"/>
  <c r="P32" i="16"/>
  <c r="O32" i="16"/>
  <c r="S31" i="16"/>
  <c r="R31" i="16"/>
  <c r="P31" i="16"/>
  <c r="O31" i="16"/>
  <c r="S30" i="16"/>
  <c r="R30" i="16"/>
  <c r="P30" i="16"/>
  <c r="O30" i="16"/>
  <c r="S29" i="16"/>
  <c r="R29" i="16"/>
  <c r="P29" i="16"/>
  <c r="O29" i="16"/>
  <c r="S28" i="16"/>
  <c r="R28" i="16"/>
  <c r="P28" i="16"/>
  <c r="O28" i="16"/>
  <c r="S27" i="16"/>
  <c r="R27" i="16"/>
  <c r="P27" i="16"/>
  <c r="O27" i="16"/>
  <c r="S26" i="16"/>
  <c r="R26" i="16"/>
  <c r="P26" i="16"/>
  <c r="O26" i="16"/>
  <c r="S25" i="16"/>
  <c r="R25" i="16"/>
  <c r="P25" i="16"/>
  <c r="O25" i="16"/>
  <c r="S24" i="16"/>
  <c r="R24" i="16"/>
  <c r="P24" i="16"/>
  <c r="O24" i="16"/>
  <c r="S23" i="16"/>
  <c r="R23" i="16"/>
  <c r="P23" i="16"/>
  <c r="O23" i="16"/>
  <c r="S22" i="16"/>
  <c r="R22" i="16"/>
  <c r="P22" i="16"/>
  <c r="O22" i="16"/>
  <c r="S21" i="16"/>
  <c r="R21" i="16"/>
  <c r="P21" i="16"/>
  <c r="O21" i="16"/>
  <c r="S20" i="16"/>
  <c r="R20" i="16"/>
  <c r="P20" i="16"/>
  <c r="O20" i="16"/>
  <c r="S19" i="16"/>
  <c r="R19" i="16"/>
  <c r="P19" i="16"/>
  <c r="O19" i="16"/>
  <c r="S18" i="16"/>
  <c r="R18" i="16"/>
  <c r="P18" i="16"/>
  <c r="O18" i="16"/>
  <c r="S17" i="16"/>
  <c r="R17" i="16"/>
  <c r="P17" i="16"/>
  <c r="O17" i="16"/>
  <c r="S16" i="16"/>
  <c r="R16" i="16"/>
  <c r="P16" i="16"/>
  <c r="O16" i="16"/>
  <c r="S15" i="16"/>
  <c r="R15" i="16"/>
  <c r="P15" i="16"/>
  <c r="O15" i="16"/>
  <c r="R14" i="16"/>
  <c r="P14" i="16"/>
  <c r="O14" i="16"/>
  <c r="S13" i="16"/>
  <c r="R13" i="16"/>
  <c r="P13" i="16"/>
  <c r="O13" i="16"/>
  <c r="S12" i="16"/>
  <c r="R12" i="16"/>
  <c r="P12" i="16"/>
  <c r="O12" i="16"/>
  <c r="S11" i="16"/>
  <c r="R11" i="16"/>
  <c r="P11" i="16"/>
  <c r="O11" i="16"/>
  <c r="S10" i="16"/>
  <c r="R10" i="16"/>
  <c r="P10" i="16"/>
  <c r="O10" i="16"/>
  <c r="S9" i="16"/>
  <c r="R9" i="16"/>
  <c r="P9" i="16"/>
  <c r="O9" i="16"/>
  <c r="S8" i="16"/>
  <c r="R8" i="16"/>
  <c r="P8" i="16"/>
  <c r="O8" i="16"/>
  <c r="S7" i="16"/>
  <c r="R7" i="16"/>
  <c r="P7" i="16"/>
  <c r="O7" i="16"/>
  <c r="S6" i="16"/>
  <c r="R6" i="16"/>
  <c r="P6" i="16"/>
  <c r="O6" i="16"/>
  <c r="S51" i="15"/>
  <c r="P51" i="15"/>
  <c r="O51" i="15"/>
  <c r="S50" i="15"/>
  <c r="R50" i="15"/>
  <c r="P50" i="15"/>
  <c r="O50" i="15"/>
  <c r="S49" i="15"/>
  <c r="R49" i="15"/>
  <c r="P49" i="15"/>
  <c r="O49" i="15"/>
  <c r="S48" i="15"/>
  <c r="R48" i="15"/>
  <c r="P48" i="15"/>
  <c r="O48" i="15"/>
  <c r="S47" i="15"/>
  <c r="R47" i="15"/>
  <c r="P47" i="15"/>
  <c r="O47" i="15"/>
  <c r="S46" i="15"/>
  <c r="R46" i="15"/>
  <c r="P46" i="15"/>
  <c r="O46" i="15"/>
  <c r="S45" i="15"/>
  <c r="R45" i="15"/>
  <c r="P45" i="15"/>
  <c r="O45" i="15"/>
  <c r="S44" i="15"/>
  <c r="R44" i="15"/>
  <c r="P44" i="15"/>
  <c r="O44" i="15"/>
  <c r="S43" i="15"/>
  <c r="R43" i="15"/>
  <c r="P43" i="15"/>
  <c r="O43" i="15"/>
  <c r="S42" i="15"/>
  <c r="R42" i="15"/>
  <c r="P42" i="15"/>
  <c r="O42" i="15"/>
  <c r="S41" i="15"/>
  <c r="R41" i="15"/>
  <c r="P41" i="15"/>
  <c r="O41" i="15"/>
  <c r="S40" i="15"/>
  <c r="R40" i="15"/>
  <c r="P40" i="15"/>
  <c r="O40" i="15"/>
  <c r="S39" i="15"/>
  <c r="R39" i="15"/>
  <c r="P39" i="15"/>
  <c r="O39" i="15"/>
  <c r="S38" i="15"/>
  <c r="R38" i="15"/>
  <c r="P38" i="15"/>
  <c r="O38" i="15"/>
  <c r="S37" i="15"/>
  <c r="R37" i="15"/>
  <c r="P37" i="15"/>
  <c r="O37" i="15"/>
  <c r="S36" i="15"/>
  <c r="R36" i="15"/>
  <c r="P36" i="15"/>
  <c r="O36" i="15"/>
  <c r="S35" i="15"/>
  <c r="R35" i="15"/>
  <c r="P35" i="15"/>
  <c r="O35" i="15"/>
  <c r="S34" i="15"/>
  <c r="R34" i="15"/>
  <c r="P34" i="15"/>
  <c r="O34" i="15"/>
  <c r="S33" i="15"/>
  <c r="R33" i="15"/>
  <c r="P33" i="15"/>
  <c r="O33" i="15"/>
  <c r="S32" i="15"/>
  <c r="R32" i="15"/>
  <c r="P32" i="15"/>
  <c r="O32" i="15"/>
  <c r="S31" i="15"/>
  <c r="R31" i="15"/>
  <c r="P31" i="15"/>
  <c r="O31" i="15"/>
  <c r="S30" i="15"/>
  <c r="R30" i="15"/>
  <c r="P30" i="15"/>
  <c r="O30" i="15"/>
  <c r="S29" i="15"/>
  <c r="R29" i="15"/>
  <c r="P29" i="15"/>
  <c r="O29" i="15"/>
  <c r="S28" i="15"/>
  <c r="R28" i="15"/>
  <c r="P28" i="15"/>
  <c r="O28" i="15"/>
  <c r="S27" i="15"/>
  <c r="R27" i="15"/>
  <c r="P27" i="15"/>
  <c r="O27" i="15"/>
  <c r="S26" i="15"/>
  <c r="R26" i="15"/>
  <c r="P26" i="15"/>
  <c r="O26" i="15"/>
  <c r="S25" i="15"/>
  <c r="R25" i="15"/>
  <c r="P25" i="15"/>
  <c r="O25" i="15"/>
  <c r="S24" i="15"/>
  <c r="R24" i="15"/>
  <c r="P24" i="15"/>
  <c r="O24" i="15"/>
  <c r="S23" i="15"/>
  <c r="R23" i="15"/>
  <c r="P23" i="15"/>
  <c r="O23" i="15"/>
  <c r="S22" i="15"/>
  <c r="R22" i="15"/>
  <c r="P22" i="15"/>
  <c r="O22" i="15"/>
  <c r="S21" i="15"/>
  <c r="R21" i="15"/>
  <c r="P21" i="15"/>
  <c r="O21" i="15"/>
  <c r="S20" i="15"/>
  <c r="R20" i="15"/>
  <c r="P20" i="15"/>
  <c r="O20" i="15"/>
  <c r="S19" i="15"/>
  <c r="R19" i="15"/>
  <c r="P19" i="15"/>
  <c r="O19" i="15"/>
  <c r="S18" i="15"/>
  <c r="R18" i="15"/>
  <c r="P18" i="15"/>
  <c r="O18" i="15"/>
  <c r="S17" i="15"/>
  <c r="R17" i="15"/>
  <c r="P17" i="15"/>
  <c r="O17" i="15"/>
  <c r="S16" i="15"/>
  <c r="R16" i="15"/>
  <c r="P16" i="15"/>
  <c r="O16" i="15"/>
  <c r="S15" i="15"/>
  <c r="R15" i="15"/>
  <c r="P15" i="15"/>
  <c r="O15" i="15"/>
  <c r="S14" i="15"/>
  <c r="R14" i="15"/>
  <c r="P14" i="15"/>
  <c r="O14" i="15"/>
  <c r="S13" i="15"/>
  <c r="R13" i="15"/>
  <c r="P13" i="15"/>
  <c r="O13" i="15"/>
  <c r="S12" i="15"/>
  <c r="R12" i="15"/>
  <c r="P12" i="15"/>
  <c r="O12" i="15"/>
  <c r="S11" i="15"/>
  <c r="R11" i="15"/>
  <c r="P11" i="15"/>
  <c r="O11" i="15"/>
  <c r="S10" i="15"/>
  <c r="R10" i="15"/>
  <c r="P10" i="15"/>
  <c r="O10" i="15"/>
  <c r="S9" i="15"/>
  <c r="R9" i="15"/>
  <c r="P9" i="15"/>
  <c r="O9" i="15"/>
  <c r="S8" i="15"/>
  <c r="R8" i="15"/>
  <c r="P8" i="15"/>
  <c r="O8" i="15"/>
  <c r="S7" i="15"/>
  <c r="R7" i="15"/>
  <c r="P7" i="15"/>
  <c r="S6" i="15"/>
  <c r="R6" i="15"/>
  <c r="P6" i="15"/>
  <c r="O6" i="15"/>
  <c r="S5" i="15"/>
  <c r="R5" i="15"/>
  <c r="P5" i="15"/>
  <c r="O5" i="15"/>
  <c r="S4" i="15"/>
  <c r="R4" i="15"/>
  <c r="P4" i="15"/>
  <c r="O4" i="15"/>
  <c r="S3" i="15"/>
  <c r="R3" i="15"/>
  <c r="P3" i="15"/>
  <c r="O3" i="15"/>
  <c r="S3" i="14"/>
  <c r="R3" i="14"/>
  <c r="P3" i="14"/>
  <c r="O3" i="14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3" i="13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3" i="12"/>
  <c r="O3" i="12"/>
  <c r="O3" i="9"/>
  <c r="N3" i="9"/>
  <c r="M3" i="9"/>
  <c r="L3" i="9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O3" i="13"/>
  <c r="U52" i="16" l="1"/>
  <c r="I19" i="18" s="1"/>
  <c r="L54" i="17"/>
  <c r="M54" i="17"/>
  <c r="J20" i="18" s="1"/>
  <c r="L52" i="17"/>
  <c r="L53" i="17"/>
  <c r="M52" i="17"/>
  <c r="I20" i="18" s="1"/>
  <c r="M53" i="17"/>
  <c r="H20" i="18" s="1"/>
  <c r="F20" i="18"/>
  <c r="G20" i="18"/>
  <c r="E20" i="18"/>
  <c r="P54" i="15"/>
  <c r="P52" i="15"/>
  <c r="R54" i="15"/>
  <c r="D18" i="18" s="1"/>
  <c r="S53" i="15"/>
  <c r="S54" i="15"/>
  <c r="R52" i="15"/>
  <c r="C18" i="18" s="1"/>
  <c r="S52" i="15"/>
  <c r="R53" i="15"/>
  <c r="B18" i="18" s="1"/>
  <c r="O54" i="15"/>
  <c r="O52" i="15"/>
  <c r="O53" i="15"/>
  <c r="P53" i="15"/>
  <c r="Q53" i="15"/>
  <c r="Q54" i="15"/>
  <c r="T54" i="15"/>
  <c r="T52" i="15"/>
  <c r="N52" i="13"/>
  <c r="N53" i="13"/>
  <c r="N54" i="13"/>
  <c r="N52" i="12"/>
  <c r="N53" i="12"/>
  <c r="N54" i="12"/>
  <c r="N53" i="9"/>
  <c r="N54" i="9"/>
  <c r="Q52" i="16"/>
  <c r="I8" i="18" s="1"/>
  <c r="I10" i="18" s="1"/>
  <c r="P52" i="16"/>
  <c r="F8" i="18" s="1"/>
  <c r="F10" i="18" s="1"/>
  <c r="O54" i="16"/>
  <c r="D8" i="18" s="1"/>
  <c r="D10" i="18" s="1"/>
  <c r="R54" i="16"/>
  <c r="D19" i="18" s="1"/>
  <c r="O52" i="16"/>
  <c r="C8" i="18" s="1"/>
  <c r="C10" i="18" s="1"/>
  <c r="R53" i="16"/>
  <c r="B19" i="18" s="1"/>
  <c r="O53" i="16"/>
  <c r="B8" i="18" s="1"/>
  <c r="B10" i="18" s="1"/>
  <c r="R52" i="16"/>
  <c r="C19" i="18" s="1"/>
  <c r="C21" i="18" s="1"/>
  <c r="S53" i="16"/>
  <c r="E19" i="18" s="1"/>
  <c r="S52" i="16"/>
  <c r="F19" i="18" s="1"/>
  <c r="P53" i="16"/>
  <c r="E8" i="18" s="1"/>
  <c r="E10" i="18" s="1"/>
  <c r="P54" i="16"/>
  <c r="G8" i="18" s="1"/>
  <c r="G10" i="18" s="1"/>
  <c r="S54" i="16"/>
  <c r="G19" i="18" s="1"/>
  <c r="U53" i="16"/>
  <c r="H19" i="18" s="1"/>
  <c r="U54" i="16"/>
  <c r="J19" i="18" s="1"/>
  <c r="Q53" i="16"/>
  <c r="H8" i="18" s="1"/>
  <c r="H10" i="18" s="1"/>
  <c r="Q54" i="16"/>
  <c r="J8" i="18" s="1"/>
  <c r="J10" i="18" s="1"/>
  <c r="T53" i="15"/>
  <c r="Q52" i="15"/>
  <c r="T55" i="14"/>
  <c r="T54" i="14"/>
  <c r="Q54" i="14"/>
  <c r="S52" i="14"/>
  <c r="P52" i="14"/>
  <c r="O52" i="14"/>
  <c r="S51" i="14"/>
  <c r="P51" i="14"/>
  <c r="O51" i="14"/>
  <c r="S50" i="14"/>
  <c r="P50" i="14"/>
  <c r="O50" i="14"/>
  <c r="S49" i="14"/>
  <c r="P49" i="14"/>
  <c r="O49" i="14"/>
  <c r="S48" i="14"/>
  <c r="P48" i="14"/>
  <c r="O48" i="14"/>
  <c r="S47" i="14"/>
  <c r="P47" i="14"/>
  <c r="O47" i="14"/>
  <c r="S46" i="14"/>
  <c r="P46" i="14"/>
  <c r="O46" i="14"/>
  <c r="S45" i="14"/>
  <c r="P45" i="14"/>
  <c r="O45" i="14"/>
  <c r="S44" i="14"/>
  <c r="P44" i="14"/>
  <c r="O44" i="14"/>
  <c r="S43" i="14"/>
  <c r="P43" i="14"/>
  <c r="O43" i="14"/>
  <c r="S42" i="14"/>
  <c r="P42" i="14"/>
  <c r="O42" i="14"/>
  <c r="S41" i="14"/>
  <c r="P41" i="14"/>
  <c r="O41" i="14"/>
  <c r="S40" i="14"/>
  <c r="P40" i="14"/>
  <c r="O40" i="14"/>
  <c r="S39" i="14"/>
  <c r="P39" i="14"/>
  <c r="O39" i="14"/>
  <c r="S38" i="14"/>
  <c r="P38" i="14"/>
  <c r="O38" i="14"/>
  <c r="S37" i="14"/>
  <c r="P37" i="14"/>
  <c r="O37" i="14"/>
  <c r="S36" i="14"/>
  <c r="P36" i="14"/>
  <c r="O36" i="14"/>
  <c r="S35" i="14"/>
  <c r="P35" i="14"/>
  <c r="O35" i="14"/>
  <c r="S34" i="14"/>
  <c r="P34" i="14"/>
  <c r="O34" i="14"/>
  <c r="S33" i="14"/>
  <c r="P33" i="14"/>
  <c r="O33" i="14"/>
  <c r="S32" i="14"/>
  <c r="P32" i="14"/>
  <c r="O32" i="14"/>
  <c r="S31" i="14"/>
  <c r="P31" i="14"/>
  <c r="O31" i="14"/>
  <c r="S30" i="14"/>
  <c r="P30" i="14"/>
  <c r="O30" i="14"/>
  <c r="S29" i="14"/>
  <c r="P29" i="14"/>
  <c r="O29" i="14"/>
  <c r="S28" i="14"/>
  <c r="P28" i="14"/>
  <c r="O28" i="14"/>
  <c r="S27" i="14"/>
  <c r="P27" i="14"/>
  <c r="O27" i="14"/>
  <c r="S26" i="14"/>
  <c r="P26" i="14"/>
  <c r="O26" i="14"/>
  <c r="S25" i="14"/>
  <c r="P25" i="14"/>
  <c r="O25" i="14"/>
  <c r="S24" i="14"/>
  <c r="P24" i="14"/>
  <c r="O24" i="14"/>
  <c r="S23" i="14"/>
  <c r="P23" i="14"/>
  <c r="O23" i="14"/>
  <c r="S22" i="14"/>
  <c r="P22" i="14"/>
  <c r="O22" i="14"/>
  <c r="S21" i="14"/>
  <c r="P21" i="14"/>
  <c r="O21" i="14"/>
  <c r="S20" i="14"/>
  <c r="P20" i="14"/>
  <c r="O20" i="14"/>
  <c r="S19" i="14"/>
  <c r="P19" i="14"/>
  <c r="O19" i="14"/>
  <c r="S18" i="14"/>
  <c r="P18" i="14"/>
  <c r="O18" i="14"/>
  <c r="S17" i="14"/>
  <c r="P17" i="14"/>
  <c r="O17" i="14"/>
  <c r="S16" i="14"/>
  <c r="P16" i="14"/>
  <c r="O16" i="14"/>
  <c r="S15" i="14"/>
  <c r="P15" i="14"/>
  <c r="O15" i="14"/>
  <c r="S14" i="14"/>
  <c r="P14" i="14"/>
  <c r="O14" i="14"/>
  <c r="S13" i="14"/>
  <c r="P13" i="14"/>
  <c r="O13" i="14"/>
  <c r="S12" i="14"/>
  <c r="P12" i="14"/>
  <c r="O12" i="14"/>
  <c r="S11" i="14"/>
  <c r="P11" i="14"/>
  <c r="O11" i="14"/>
  <c r="S10" i="14"/>
  <c r="P10" i="14"/>
  <c r="O10" i="14"/>
  <c r="S9" i="14"/>
  <c r="P9" i="14"/>
  <c r="O9" i="14"/>
  <c r="S8" i="14"/>
  <c r="P8" i="14"/>
  <c r="O8" i="14"/>
  <c r="S7" i="14"/>
  <c r="P7" i="14"/>
  <c r="O7" i="14"/>
  <c r="S6" i="14"/>
  <c r="P6" i="14"/>
  <c r="O6" i="14"/>
  <c r="S5" i="14"/>
  <c r="P5" i="14"/>
  <c r="O5" i="14"/>
  <c r="S4" i="14"/>
  <c r="P4" i="14"/>
  <c r="O4" i="14"/>
  <c r="R55" i="14"/>
  <c r="O51" i="13"/>
  <c r="M51" i="13"/>
  <c r="L51" i="13"/>
  <c r="O50" i="13"/>
  <c r="M50" i="13"/>
  <c r="L50" i="13"/>
  <c r="O49" i="13"/>
  <c r="M49" i="13"/>
  <c r="L49" i="13"/>
  <c r="O48" i="13"/>
  <c r="M48" i="13"/>
  <c r="L48" i="13"/>
  <c r="O47" i="13"/>
  <c r="M47" i="13"/>
  <c r="L47" i="13"/>
  <c r="O46" i="13"/>
  <c r="M46" i="13"/>
  <c r="L46" i="13"/>
  <c r="O45" i="13"/>
  <c r="M45" i="13"/>
  <c r="L45" i="13"/>
  <c r="O44" i="13"/>
  <c r="M44" i="13"/>
  <c r="L44" i="13"/>
  <c r="O43" i="13"/>
  <c r="M43" i="13"/>
  <c r="L43" i="13"/>
  <c r="O42" i="13"/>
  <c r="M42" i="13"/>
  <c r="L42" i="13"/>
  <c r="O41" i="13"/>
  <c r="M41" i="13"/>
  <c r="L41" i="13"/>
  <c r="O40" i="13"/>
  <c r="M40" i="13"/>
  <c r="L40" i="13"/>
  <c r="O39" i="13"/>
  <c r="M39" i="13"/>
  <c r="L39" i="13"/>
  <c r="O38" i="13"/>
  <c r="M38" i="13"/>
  <c r="L38" i="13"/>
  <c r="O37" i="13"/>
  <c r="M37" i="13"/>
  <c r="L37" i="13"/>
  <c r="O36" i="13"/>
  <c r="M36" i="13"/>
  <c r="L36" i="13"/>
  <c r="O35" i="13"/>
  <c r="M35" i="13"/>
  <c r="L35" i="13"/>
  <c r="O34" i="13"/>
  <c r="M34" i="13"/>
  <c r="L34" i="13"/>
  <c r="O33" i="13"/>
  <c r="M33" i="13"/>
  <c r="L33" i="13"/>
  <c r="O32" i="13"/>
  <c r="M32" i="13"/>
  <c r="L32" i="13"/>
  <c r="O31" i="13"/>
  <c r="M31" i="13"/>
  <c r="L31" i="13"/>
  <c r="O30" i="13"/>
  <c r="M30" i="13"/>
  <c r="L30" i="13"/>
  <c r="O29" i="13"/>
  <c r="M29" i="13"/>
  <c r="L29" i="13"/>
  <c r="O28" i="13"/>
  <c r="M28" i="13"/>
  <c r="L28" i="13"/>
  <c r="O27" i="13"/>
  <c r="M27" i="13"/>
  <c r="L27" i="13"/>
  <c r="O26" i="13"/>
  <c r="M26" i="13"/>
  <c r="L26" i="13"/>
  <c r="O25" i="13"/>
  <c r="M25" i="13"/>
  <c r="L25" i="13"/>
  <c r="O24" i="13"/>
  <c r="M24" i="13"/>
  <c r="L24" i="13"/>
  <c r="O23" i="13"/>
  <c r="M23" i="13"/>
  <c r="L23" i="13"/>
  <c r="O22" i="13"/>
  <c r="M22" i="13"/>
  <c r="L22" i="13"/>
  <c r="O21" i="13"/>
  <c r="M21" i="13"/>
  <c r="L21" i="13"/>
  <c r="O20" i="13"/>
  <c r="M20" i="13"/>
  <c r="L20" i="13"/>
  <c r="O19" i="13"/>
  <c r="M19" i="13"/>
  <c r="L19" i="13"/>
  <c r="O18" i="13"/>
  <c r="M18" i="13"/>
  <c r="L18" i="13"/>
  <c r="O17" i="13"/>
  <c r="M17" i="13"/>
  <c r="L17" i="13"/>
  <c r="O16" i="13"/>
  <c r="M16" i="13"/>
  <c r="L16" i="13"/>
  <c r="O15" i="13"/>
  <c r="M15" i="13"/>
  <c r="L15" i="13"/>
  <c r="O14" i="13"/>
  <c r="M14" i="13"/>
  <c r="L14" i="13"/>
  <c r="O13" i="13"/>
  <c r="M13" i="13"/>
  <c r="L13" i="13"/>
  <c r="O12" i="13"/>
  <c r="M12" i="13"/>
  <c r="L12" i="13"/>
  <c r="O11" i="13"/>
  <c r="M11" i="13"/>
  <c r="L11" i="13"/>
  <c r="O10" i="13"/>
  <c r="M10" i="13"/>
  <c r="L10" i="13"/>
  <c r="O9" i="13"/>
  <c r="M9" i="13"/>
  <c r="L9" i="13"/>
  <c r="O8" i="13"/>
  <c r="M8" i="13"/>
  <c r="L8" i="13"/>
  <c r="O7" i="13"/>
  <c r="M7" i="13"/>
  <c r="L7" i="13"/>
  <c r="O6" i="13"/>
  <c r="M6" i="13"/>
  <c r="L6" i="13"/>
  <c r="O5" i="13"/>
  <c r="M5" i="13"/>
  <c r="L5" i="13"/>
  <c r="O4" i="13"/>
  <c r="M4" i="13"/>
  <c r="L4" i="13"/>
  <c r="M3" i="13"/>
  <c r="L3" i="13"/>
  <c r="O51" i="12"/>
  <c r="M51" i="12"/>
  <c r="L51" i="12"/>
  <c r="O50" i="12"/>
  <c r="M50" i="12"/>
  <c r="L50" i="12"/>
  <c r="O49" i="12"/>
  <c r="M49" i="12"/>
  <c r="L49" i="12"/>
  <c r="O48" i="12"/>
  <c r="M48" i="12"/>
  <c r="L48" i="12"/>
  <c r="O47" i="12"/>
  <c r="M47" i="12"/>
  <c r="L47" i="12"/>
  <c r="O46" i="12"/>
  <c r="M46" i="12"/>
  <c r="L46" i="12"/>
  <c r="O45" i="12"/>
  <c r="M45" i="12"/>
  <c r="L45" i="12"/>
  <c r="O44" i="12"/>
  <c r="M44" i="12"/>
  <c r="L44" i="12"/>
  <c r="O43" i="12"/>
  <c r="M43" i="12"/>
  <c r="L43" i="12"/>
  <c r="O42" i="12"/>
  <c r="M42" i="12"/>
  <c r="L42" i="12"/>
  <c r="O41" i="12"/>
  <c r="M41" i="12"/>
  <c r="L41" i="12"/>
  <c r="O40" i="12"/>
  <c r="M40" i="12"/>
  <c r="L40" i="12"/>
  <c r="O39" i="12"/>
  <c r="M39" i="12"/>
  <c r="L39" i="12"/>
  <c r="O38" i="12"/>
  <c r="M38" i="12"/>
  <c r="L38" i="12"/>
  <c r="O37" i="12"/>
  <c r="M37" i="12"/>
  <c r="L37" i="12"/>
  <c r="O36" i="12"/>
  <c r="M36" i="12"/>
  <c r="L36" i="12"/>
  <c r="O35" i="12"/>
  <c r="M35" i="12"/>
  <c r="L35" i="12"/>
  <c r="O34" i="12"/>
  <c r="M34" i="12"/>
  <c r="L34" i="12"/>
  <c r="O33" i="12"/>
  <c r="M33" i="12"/>
  <c r="L33" i="12"/>
  <c r="O32" i="12"/>
  <c r="M32" i="12"/>
  <c r="L32" i="12"/>
  <c r="O31" i="12"/>
  <c r="M31" i="12"/>
  <c r="L31" i="12"/>
  <c r="O30" i="12"/>
  <c r="M30" i="12"/>
  <c r="L30" i="12"/>
  <c r="O29" i="12"/>
  <c r="M29" i="12"/>
  <c r="L29" i="12"/>
  <c r="O28" i="12"/>
  <c r="M28" i="12"/>
  <c r="L28" i="12"/>
  <c r="O27" i="12"/>
  <c r="M27" i="12"/>
  <c r="L27" i="12"/>
  <c r="O26" i="12"/>
  <c r="M26" i="12"/>
  <c r="L26" i="12"/>
  <c r="O25" i="12"/>
  <c r="M25" i="12"/>
  <c r="L25" i="12"/>
  <c r="O24" i="12"/>
  <c r="M24" i="12"/>
  <c r="L24" i="12"/>
  <c r="O23" i="12"/>
  <c r="M23" i="12"/>
  <c r="L23" i="12"/>
  <c r="O22" i="12"/>
  <c r="M22" i="12"/>
  <c r="L22" i="12"/>
  <c r="O21" i="12"/>
  <c r="M21" i="12"/>
  <c r="L21" i="12"/>
  <c r="O20" i="12"/>
  <c r="M20" i="12"/>
  <c r="L20" i="12"/>
  <c r="O19" i="12"/>
  <c r="M19" i="12"/>
  <c r="L19" i="12"/>
  <c r="O18" i="12"/>
  <c r="M18" i="12"/>
  <c r="L18" i="12"/>
  <c r="O17" i="12"/>
  <c r="M17" i="12"/>
  <c r="L17" i="12"/>
  <c r="O16" i="12"/>
  <c r="M16" i="12"/>
  <c r="L16" i="12"/>
  <c r="O15" i="12"/>
  <c r="M15" i="12"/>
  <c r="L15" i="12"/>
  <c r="O14" i="12"/>
  <c r="M14" i="12"/>
  <c r="L14" i="12"/>
  <c r="O13" i="12"/>
  <c r="M13" i="12"/>
  <c r="L13" i="12"/>
  <c r="O12" i="12"/>
  <c r="M12" i="12"/>
  <c r="L12" i="12"/>
  <c r="O11" i="12"/>
  <c r="M11" i="12"/>
  <c r="L11" i="12"/>
  <c r="O10" i="12"/>
  <c r="M10" i="12"/>
  <c r="L10" i="12"/>
  <c r="O9" i="12"/>
  <c r="M9" i="12"/>
  <c r="L9" i="12"/>
  <c r="O8" i="12"/>
  <c r="M8" i="12"/>
  <c r="L8" i="12"/>
  <c r="O7" i="12"/>
  <c r="M7" i="12"/>
  <c r="L7" i="12"/>
  <c r="O6" i="12"/>
  <c r="M6" i="12"/>
  <c r="L6" i="12"/>
  <c r="O5" i="12"/>
  <c r="M5" i="12"/>
  <c r="L5" i="12"/>
  <c r="O4" i="12"/>
  <c r="M4" i="12"/>
  <c r="L4" i="12"/>
  <c r="M3" i="12"/>
  <c r="L3" i="12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L4" i="9"/>
  <c r="M4" i="9"/>
  <c r="L5" i="9"/>
  <c r="M5" i="9"/>
  <c r="L6" i="9"/>
  <c r="M6" i="9"/>
  <c r="L7" i="9"/>
  <c r="M7" i="9"/>
  <c r="L8" i="9"/>
  <c r="M8" i="9"/>
  <c r="L9" i="9"/>
  <c r="M9" i="9"/>
  <c r="L10" i="9"/>
  <c r="M10" i="9"/>
  <c r="L11" i="9"/>
  <c r="M11" i="9"/>
  <c r="L12" i="9"/>
  <c r="M12" i="9"/>
  <c r="L13" i="9"/>
  <c r="M13" i="9"/>
  <c r="L14" i="9"/>
  <c r="M14" i="9"/>
  <c r="L15" i="9"/>
  <c r="M15" i="9"/>
  <c r="L16" i="9"/>
  <c r="M16" i="9"/>
  <c r="L17" i="9"/>
  <c r="M17" i="9"/>
  <c r="L18" i="9"/>
  <c r="M18" i="9"/>
  <c r="L19" i="9"/>
  <c r="M19" i="9"/>
  <c r="L20" i="9"/>
  <c r="M20" i="9"/>
  <c r="L21" i="9"/>
  <c r="M21" i="9"/>
  <c r="L22" i="9"/>
  <c r="M22" i="9"/>
  <c r="L23" i="9"/>
  <c r="M23" i="9"/>
  <c r="L24" i="9"/>
  <c r="M24" i="9"/>
  <c r="L25" i="9"/>
  <c r="M25" i="9"/>
  <c r="L26" i="9"/>
  <c r="M26" i="9"/>
  <c r="L27" i="9"/>
  <c r="M27" i="9"/>
  <c r="L28" i="9"/>
  <c r="M28" i="9"/>
  <c r="L29" i="9"/>
  <c r="M29" i="9"/>
  <c r="L30" i="9"/>
  <c r="M30" i="9"/>
  <c r="L31" i="9"/>
  <c r="M31" i="9"/>
  <c r="L32" i="9"/>
  <c r="M32" i="9"/>
  <c r="L33" i="9"/>
  <c r="M33" i="9"/>
  <c r="L34" i="9"/>
  <c r="M34" i="9"/>
  <c r="L35" i="9"/>
  <c r="M35" i="9"/>
  <c r="L36" i="9"/>
  <c r="M36" i="9"/>
  <c r="L37" i="9"/>
  <c r="M37" i="9"/>
  <c r="L38" i="9"/>
  <c r="M38" i="9"/>
  <c r="L39" i="9"/>
  <c r="M39" i="9"/>
  <c r="L40" i="9"/>
  <c r="M40" i="9"/>
  <c r="L41" i="9"/>
  <c r="M41" i="9"/>
  <c r="L42" i="9"/>
  <c r="M42" i="9"/>
  <c r="L43" i="9"/>
  <c r="M43" i="9"/>
  <c r="L44" i="9"/>
  <c r="M44" i="9"/>
  <c r="L45" i="9"/>
  <c r="M45" i="9"/>
  <c r="L46" i="9"/>
  <c r="M46" i="9"/>
  <c r="L47" i="9"/>
  <c r="M47" i="9"/>
  <c r="L48" i="9"/>
  <c r="M48" i="9"/>
  <c r="L49" i="9"/>
  <c r="M49" i="9"/>
  <c r="L50" i="9"/>
  <c r="M50" i="9"/>
  <c r="L51" i="9"/>
  <c r="M51" i="9"/>
  <c r="G21" i="18" l="1"/>
  <c r="B21" i="18"/>
  <c r="D21" i="18"/>
  <c r="J21" i="18"/>
  <c r="I21" i="18"/>
  <c r="F21" i="18"/>
  <c r="E21" i="18"/>
  <c r="H21" i="18"/>
  <c r="O53" i="13"/>
  <c r="L52" i="13"/>
  <c r="L54" i="13"/>
  <c r="L53" i="13"/>
  <c r="M52" i="13"/>
  <c r="M54" i="13"/>
  <c r="M53" i="13"/>
  <c r="O52" i="13"/>
  <c r="O54" i="13"/>
  <c r="O54" i="12"/>
  <c r="M52" i="12"/>
  <c r="M53" i="12"/>
  <c r="M54" i="12"/>
  <c r="L52" i="12"/>
  <c r="L53" i="12"/>
  <c r="L54" i="12"/>
  <c r="O53" i="12"/>
  <c r="O52" i="12"/>
  <c r="M52" i="9"/>
  <c r="L54" i="9"/>
  <c r="L52" i="9"/>
  <c r="O53" i="9"/>
  <c r="M53" i="9"/>
  <c r="M54" i="9"/>
  <c r="O54" i="9"/>
  <c r="O52" i="9"/>
  <c r="L53" i="9"/>
  <c r="P53" i="14"/>
  <c r="O53" i="14"/>
  <c r="S55" i="14"/>
  <c r="P54" i="14"/>
  <c r="O54" i="14"/>
  <c r="R53" i="14"/>
  <c r="S53" i="14"/>
  <c r="R54" i="14"/>
  <c r="S54" i="14"/>
  <c r="O55" i="14"/>
  <c r="P55" i="14"/>
</calcChain>
</file>

<file path=xl/sharedStrings.xml><?xml version="1.0" encoding="utf-8"?>
<sst xmlns="http://schemas.openxmlformats.org/spreadsheetml/2006/main" count="1501" uniqueCount="690">
  <si>
    <t>Subsistema</t>
  </si>
  <si>
    <t>Particion</t>
  </si>
  <si>
    <t>ABCDEFGHIJ_{t+1}|ABCDEFGHIJ_{t}</t>
  </si>
  <si>
    <t>ABCDEFGHIJKLMNO_{t+1}|ABCDEFGHIJKLMNO_{t}</t>
  </si>
  <si>
    <t>ABCDEFGHIJKLMNO_{t+1}|ABCDEFGHIJKLMN_{t}</t>
  </si>
  <si>
    <t>ABCDEFGHIJKLMNO_{t+1}|BCDEFGHIJKLMNO_{t}</t>
  </si>
  <si>
    <t>ABCDEFGHIJKLMNO_{t+1}|BCDEFGHIJKLMN_{t}</t>
  </si>
  <si>
    <t>ABCDEFGHIJKLMNO_{t+1}|ACEGIKMO_{t}</t>
  </si>
  <si>
    <t>ABCDEFGHIJKLMNO_{t+1}|BDFHJLN_{t}</t>
  </si>
  <si>
    <t>ABCDEFGHIJKLMN_{t+1}|ABCDEFGHIJKLMNO_{t}</t>
  </si>
  <si>
    <t>ABCDEFGHIJKLMN_{t+1}|ABCDEFGHIJKLMN_{t}</t>
  </si>
  <si>
    <t>ABCDEFGHIJKLMN_{t+1}|BCDEFGHIJKLMNO_{t}</t>
  </si>
  <si>
    <t>ABCDEFGHIJKLMN_{t+1}|BCDEFGHIJKLMN_{t}</t>
  </si>
  <si>
    <t>ABCDEFGHIJKLMN_{t+1}|ACEGIKMO_{t}</t>
  </si>
  <si>
    <t>KILLED</t>
  </si>
  <si>
    <t>ABCDEFGHIJKLMN_{t+1}|BDFHJLN_{t}</t>
  </si>
  <si>
    <t>BCDEFGHIJKLMNO_{t+1}|ABCDEFGHIJKLMNO_{t}</t>
  </si>
  <si>
    <t>BCDEFGHIJKLMNO_{t+1}|ABCDEFGHIJKLMN_{t}</t>
  </si>
  <si>
    <t>BCDEFGHIJKLMNO_{t+1}|BCDEFGHIJKLMNO_{t}</t>
  </si>
  <si>
    <t>BCDEFGHIJKLMNO_{t+1}|BCDEFGHIJKLMN_{t}</t>
  </si>
  <si>
    <t>BCDEFGHIJKLMNO_{t+1}|ACEGIKMO_{t}</t>
  </si>
  <si>
    <t>BCDEFGHIJKLMNO_{t+1}|BDFHJLN_{t}</t>
  </si>
  <si>
    <t>BCDEFGHIJKLMN_{t+1}|ABCDEFGHIJKLMNO_{t}</t>
  </si>
  <si>
    <t>BCDEFGHIJKLMN_{t+1}|ABCDEFGHIJKLMN_{t}</t>
  </si>
  <si>
    <t>BCDEFGHIJKLMN_{t+1}|BCDEFGHIJKLMNO_{t}</t>
  </si>
  <si>
    <t>BCDEFGHIJKLMN_{t+1}|BCDEFGHIJKLMN_{t}</t>
  </si>
  <si>
    <t>BCDEFGHIJKLMN_{t+1}|ACEGIKMO_{t}</t>
  </si>
  <si>
    <t>BCDEFGHIJKLMN_{t+1}|BDFHJLN_{t}</t>
  </si>
  <si>
    <t>ACEGIKMO_{t+1}|ABCDEFGHIJKLMNO_{t}</t>
  </si>
  <si>
    <t>ACEGIKMO_{t+1}|ABCDEFGHIJKLMN_{t}</t>
  </si>
  <si>
    <t>ACEGIKMO_{t+1}|BCDEFGHIJKLMNO_{t}</t>
  </si>
  <si>
    <t>ACEGIKMO_{t+1}|BCDEFGHIJKLMN_{t}</t>
  </si>
  <si>
    <t>ACEGIKMO_{t+1}|ACEGIKMO_{t}</t>
  </si>
  <si>
    <t>ACEGIKMO_{t+1}|BDFHJLN_{t}</t>
  </si>
  <si>
    <t>BDFHJLN_{t+1}|ABCDEFGHIJKLMNO_{t}</t>
  </si>
  <si>
    <t>BDFHJLN_{t+1}|ABCDEFGHIJKLMN_{t}</t>
  </si>
  <si>
    <t>BDFHJLN_{t+1}|BCDEFGHIJKLMNO_{t}</t>
  </si>
  <si>
    <t>BDFHJLN_{t+1}|BCDEFGHIJKLMN_{t}</t>
  </si>
  <si>
    <t>BDFHJLN_{t+1}|ACEGIKMO_{t}</t>
  </si>
  <si>
    <t>BDFHJLN_{t+1}|BDFHJLN_{t}</t>
  </si>
  <si>
    <t>ABCDEFGHIJKLMNOPQRST_{t+1}|ABCDEFGHIJKLMNOPQRST_{t}</t>
  </si>
  <si>
    <t>ABCDEFGHIJKLMNOPQRST_{t+1}|ABCDEFGHIJKLMNOPQRS_{t}</t>
  </si>
  <si>
    <t>ABCDEFGHIJKLMNOPQRST_{t+1}|BCDEFGHIJKLMNOPQRST_{t}</t>
  </si>
  <si>
    <t>ABCDEFGHIJKLMNOPQRST_{t+1}|BCDEFGHIJKLMNOPQRS_{t}</t>
  </si>
  <si>
    <t>ABCDEFGHIJKLMNOPQRST_{t+1}|ACEGIKMOQS_{t}</t>
  </si>
  <si>
    <t>ABCDEFGHIJKLMNOPQRST_{t+1}|BDFHJLNPRT_{t}</t>
  </si>
  <si>
    <t>ABCDEFGHIJKLMNOPQRS_{t+1}|ABCDEFGHIJKLMNOPQRST_{t}</t>
  </si>
  <si>
    <t>ABCDEFGHIJKLMNOPQRS_{t+1}|ABCDEFGHIJKLMNOPQRS_{t}</t>
  </si>
  <si>
    <t>ABCDEFGHIJKLMNOPQRS_{t+1}|BCDEFGHIJKLMNOPQRST_{t}</t>
  </si>
  <si>
    <t>ABCDEFGHIJKLMNOPQRS_{t+1}|BCDEFGHIJKLMNOPQRS_{t}</t>
  </si>
  <si>
    <t>ABCDEFGHIJKLMNOPQRS_{t+1}|ACEGIKMOQS_{t}</t>
  </si>
  <si>
    <t>ABCDEFGHIJKLMNOPQRS_{t+1}|BDFHJLNPRT_{t}</t>
  </si>
  <si>
    <t>BCDEFGHIJKLMNOPQRST_{t+1}|ABCDEFGHIJKLMNOPQRST_{t}</t>
  </si>
  <si>
    <t>BCDEFGHIJKLMNOPQRST_{t+1}|ABCDEFGHIJKLMNOPQRS_{t}</t>
  </si>
  <si>
    <t>BCDEFGHIJKLMNOPQRST_{t+1}|BCDEFGHIJKLMNOPQRST_{t}</t>
  </si>
  <si>
    <t>BCDEFGHIJKLMNOPQRST_{t+1}|BCDEFGHIJKLMNOPQRS_{t}</t>
  </si>
  <si>
    <t>BCDEFGHIJKLMNOPQRST_{t+1}|ACEGIKMOQS_{t}</t>
  </si>
  <si>
    <t>BCDEFGHIJKLMNOPQRST_{t+1}|BDFHJLNPRT_{t}</t>
  </si>
  <si>
    <t>BCDEFGHIJKLMNOPQRS_{t+1}|ABCDEFGHIJKLMNOPQRST_{t}</t>
  </si>
  <si>
    <t>BCDEFGHIJKLMNOPQRS_{t+1}|ABCDEFGHIJKLMNOPQRS_{t}</t>
  </si>
  <si>
    <t>BCDEFGHIJKLMNOPQRS_{t+1}|BCDEFGHIJKLMNOPQRST_{t}</t>
  </si>
  <si>
    <t>BCDEFGHIJKLMNOPQRS_{t+1}|BCDEFGHIJKLMNOPQRS_{t}</t>
  </si>
  <si>
    <t>BCDEFGHIJKLMNOPQRS_{t+1}|ACEGIKMOQS_{t}</t>
  </si>
  <si>
    <t>BCDEFGHIJKLMNOPQRS_{t+1}|BDFHJLNPRT_{t}</t>
  </si>
  <si>
    <t>ACEGIKMOQS_{t+1}|ABCDEFGHIJKLMNOPQRST_{t}</t>
  </si>
  <si>
    <t>ACEGIKMOQS_{t+1}|ABCDEFGHIJKLMNOPQRS_{t}</t>
  </si>
  <si>
    <t>ACEGIKMOQS_{t+1}|BCDEFGHIJKLMNOPQRST_{t}</t>
  </si>
  <si>
    <t>ACEGIKMOQS_{t+1}|BCDEFGHIJKLMNOPQRS_{t}</t>
  </si>
  <si>
    <t>ACEGIKMOQS_{t+1}|ACEGIKMOQS_{t}</t>
  </si>
  <si>
    <t>ACEGIKMOQS_{t+1}|BDFHJLNPRT_{t}</t>
  </si>
  <si>
    <t>BDFHJLNPRT_{t+1}|ABCDEFGHIJKLMNOPQRST_{t}</t>
  </si>
  <si>
    <t>BDFHJLNPRT_{t+1}|ABCDEFGHIJKLMNOPQRS_{t}</t>
  </si>
  <si>
    <t>BDFHJLNPRT_{t+1}|BCDEFGHIJKLMNOPQRST_{t}</t>
  </si>
  <si>
    <t>BDFHJLNPRT_{t+1}|BCDEFGHIJKLMNOPQRS_{t}</t>
  </si>
  <si>
    <t>BDFHJLNPRT_{t+1}|ACEGIKMOQS_{t}</t>
  </si>
  <si>
    <t>BDFHJLNPRT_{t+1}|BDFHJLNPRT_{t}</t>
  </si>
  <si>
    <t>⎛ ∅ ⎞⎛ A,B,C,D,E,F,G,H,I,J,K,L,M,N,O ⎞
⎝ b ⎠⎝    c,d,e,f,g,h,i,j,k,l,m,n    ⎠</t>
  </si>
  <si>
    <t>⎛ ∅ ⎞⎛ A,B,C,D,E,F,G,H,I,J,K,L,M,N,O ⎞
⎝ b ⎠⎝   c,d,e,f,g,h,i,j,k,l,m,n,o   ⎠</t>
  </si>
  <si>
    <t>Tiempo Q</t>
  </si>
  <si>
    <t>Perdida Q</t>
  </si>
  <si>
    <t>⎛ J ⎞⎛  A,B,C,D,E,F,G,H,I,K,L,M,N,O,P,Q,R,S,T  ⎞
⎝ ∅ ⎠⎝ a,b,c,d,e,f,g,h,i,j,k,l,m,n,o,p,q,r,s,t ⎠</t>
  </si>
  <si>
    <t>⎛ M ⎞⎛ A,B,C,D,E,F,G,H,I,J,K,L,N,O,P,Q,R,S,T ⎞
⎝ ∅ ⎠⎝ a,b,c,d,e,f,g,h,i,j,k,l,m,n,o,p,q,r,s ⎠</t>
  </si>
  <si>
    <t>⎛ L ⎞⎛ A,B,C,D,E,F,G,H,I,J,K,M,N,O,P,Q,R,S,T ⎞
⎝ ∅ ⎠⎝ b,c,d,e,f,g,h,i,j,k,l,m,n,o,p,q,r,s,t ⎠</t>
  </si>
  <si>
    <t>⎛ M ⎞⎛ A,B,C,D,E,F,G,H,I,J,K,L,N,O,P,Q,R,S,T ⎞
⎝ ∅ ⎠⎝  b,c,d,e,f,g,h,i,j,k,l,m,n,o,p,q,r,s  ⎠</t>
  </si>
  <si>
    <t>⎛ G ⎞⎛ A,B,C,D,E,F,H,I,J,K,L,M,N,O,P,Q,R,S,T ⎞
⎝ ∅ ⎠⎝          a,c,e,g,i,k,m,o,q,s          ⎠</t>
  </si>
  <si>
    <t>⎛ R ⎞⎛ A,B,C,D,E,F,G,H,I,J,K,L,M,N,O,P,Q,S,T ⎞
⎝ ∅ ⎠⎝          b,d,f,h,j,l,n,p,r,t          ⎠</t>
  </si>
  <si>
    <t>⎛ R ⎞⎛ A,B,C,D,E,F,G,H,I,J,K,L,M,N,O,P,Q,S,T ⎞
⎝ ∅ ⎠⎝      a,b,d,e,g,h,j,k,m,n,p,q,s,t      ⎠</t>
  </si>
  <si>
    <t>⎛ J ⎞⎛   A,B,C,D,E,F,G,H,I,K,L,M,N,O,P,Q,R,S   ⎞
⎝ ∅ ⎠⎝ a,b,c,d,e,f,g,h,i,j,k,l,m,n,o,p,q,r,s,t ⎠</t>
  </si>
  <si>
    <t>⎛ M ⎞⎛  A,B,C,D,E,F,G,H,I,J,K,L,N,O,P,Q,R,S  ⎞
⎝ ∅ ⎠⎝ a,b,c,d,e,f,g,h,i,j,k,l,m,n,o,p,q,r,s ⎠</t>
  </si>
  <si>
    <t>⎛ G ⎞⎛ A,B,C,D,E,F,H,I,J,K,L,M,N,O,P,Q,R,S ⎞
⎝ ∅ ⎠⎝         a,c,e,g,i,k,m,o,q,s         ⎠</t>
  </si>
  <si>
    <t>⎛ R ⎞⎛ A,B,C,D,E,F,G,H,I,J,K,L,M,N,O,P,Q,S ⎞
⎝ ∅ ⎠⎝         b,d,f,h,j,l,n,p,r,t         ⎠</t>
  </si>
  <si>
    <t>⎛ L ⎞⎛  A,B,C,D,E,F,G,H,I,J,K,M,N,O,P,Q,R,S  ⎞
⎝ ∅ ⎠⎝ b,c,d,e,f,g,h,i,j,k,l,m,n,o,p,q,r,s,t ⎠</t>
  </si>
  <si>
    <t>⎛ M ⎞⎛ A,B,C,D,E,F,G,H,I,J,K,L,N,O,P,Q,R,S ⎞
⎝ ∅ ⎠⎝ b,c,d,e,f,g,h,i,j,k,l,m,n,o,p,q,r,s ⎠</t>
  </si>
  <si>
    <t>⎛ R ⎞⎛ A,B,C,D,E,F,G,H,I,J,K,L,M,N,O,P,Q,S ⎞
⎝ ∅ ⎠⎝     a,b,d,e,g,h,j,k,m,n,p,q,s,t     ⎠</t>
  </si>
  <si>
    <t>⎛ J ⎞⎛   B,C,D,E,F,G,H,I,K,L,M,N,O,P,Q,R,S,T   ⎞
⎝ ∅ ⎠⎝ a,b,c,d,e,f,g,h,i,j,k,l,m,n,o,p,q,r,s,t ⎠</t>
  </si>
  <si>
    <t>⎛ M ⎞⎛  B,C,D,E,F,G,H,I,J,K,L,N,O,P,Q,R,S,T  ⎞
⎝ ∅ ⎠⎝ a,b,c,d,e,f,g,h,i,j,k,l,m,n,o,p,q,r,s ⎠</t>
  </si>
  <si>
    <t>⎛ L ⎞⎛  B,C,D,E,F,G,H,I,J,K,M,N,O,P,Q,R,S,T  ⎞
⎝ ∅ ⎠⎝ b,c,d,e,f,g,h,i,j,k,l,m,n,o,p,q,r,s,t ⎠</t>
  </si>
  <si>
    <t>⎛ M ⎞⎛ B,C,D,E,F,G,H,I,J,K,L,N,O,P,Q,R,S,T ⎞
⎝ ∅ ⎠⎝ b,c,d,e,f,g,h,i,j,k,l,m,n,o,p,q,r,s ⎠</t>
  </si>
  <si>
    <t>⎛ G ⎞⎛ B,C,D,E,F,H,I,J,K,L,M,N,O,P,Q,R,S,T ⎞
⎝ ∅ ⎠⎝         a,c,e,g,i,k,m,o,q,s         ⎠</t>
  </si>
  <si>
    <t>⎛ R ⎞⎛ B,C,D,E,F,G,H,I,J,K,L,M,N,O,P,Q,S,T ⎞
⎝ ∅ ⎠⎝         b,d,f,h,j,l,n,p,r,t         ⎠</t>
  </si>
  <si>
    <t>⎛ R ⎞⎛ B,C,D,E,F,G,H,I,J,K,L,M,N,O,P,Q,S,T ⎞
⎝ ∅ ⎠⎝     a,b,d,e,g,h,j,k,m,n,p,q,s,t     ⎠</t>
  </si>
  <si>
    <t>⎛ J ⎞⎛    B,C,D,E,F,G,H,I,K,L,M,N,O,P,Q,R,S    ⎞
⎝ ∅ ⎠⎝ a,b,c,d,e,f,g,h,i,j,k,l,m,n,o,p,q,r,s,t ⎠</t>
  </si>
  <si>
    <t>⎛ M ⎞⎛   B,C,D,E,F,G,H,I,J,K,L,N,O,P,Q,R,S   ⎞
⎝ ∅ ⎠⎝ a,b,c,d,e,f,g,h,i,j,k,l,m,n,o,p,q,r,s ⎠</t>
  </si>
  <si>
    <t>⎛ L ⎞⎛   B,C,D,E,F,G,H,I,J,K,M,N,O,P,Q,R,S   ⎞
⎝ ∅ ⎠⎝ b,c,d,e,f,g,h,i,j,k,l,m,n,o,p,q,r,s,t ⎠</t>
  </si>
  <si>
    <t>⎛ M ⎞⎛  B,C,D,E,F,G,H,I,J,K,L,N,O,P,Q,R,S  ⎞
⎝ ∅ ⎠⎝ b,c,d,e,f,g,h,i,j,k,l,m,n,o,p,q,r,s ⎠</t>
  </si>
  <si>
    <t>⎛ G ⎞⎛ B,C,D,E,F,H,I,J,K,L,M,N,O,P,Q,R,S ⎞
⎝ ∅ ⎠⎝        a,c,e,g,i,k,m,o,q,s        ⎠</t>
  </si>
  <si>
    <t>⎛ R ⎞⎛ B,C,D,E,F,G,H,I,J,K,L,M,N,O,P,Q,S ⎞
⎝ ∅ ⎠⎝        b,d,f,h,j,l,n,p,r,t        ⎠</t>
  </si>
  <si>
    <t>⎛ R ⎞⎛ B,C,D,E,F,G,H,I,J,K,L,M,N,O,P,Q,S ⎞
⎝ ∅ ⎠⎝    a,b,d,e,g,h,j,k,m,n,p,q,s,t    ⎠</t>
  </si>
  <si>
    <t>⎛ K ⎞⎛            A,C,E,G,I,M,O,Q,S            ⎞
⎝ ∅ ⎠⎝ a,b,c,d,e,f,g,h,i,j,k,l,m,n,o,p,q,r,s,t ⎠</t>
  </si>
  <si>
    <t>⎛ M ⎞⎛           A,C,E,G,I,K,O,Q,S           ⎞
⎝ ∅ ⎠⎝ a,b,c,d,e,f,g,h,i,j,k,l,m,n,o,p,q,r,s ⎠</t>
  </si>
  <si>
    <t>⎛ O ⎞⎛           A,C,E,G,I,K,M,Q,S           ⎞
⎝ ∅ ⎠⎝ b,c,d,e,f,g,h,i,j,k,l,m,n,o,p,q,r,s,t ⎠</t>
  </si>
  <si>
    <t>⎛ M ⎞⎛          A,C,E,G,I,K,O,Q,S          ⎞
⎝ ∅ ⎠⎝ b,c,d,e,f,g,h,i,j,k,l,m,n,o,p,q,r,s ⎠</t>
  </si>
  <si>
    <t>⎛ G ⎞⎛  A,C,E,I,K,M,O,Q,S  ⎞
⎝ ∅ ⎠⎝ a,c,e,g,i,k,m,o,q,s ⎠</t>
  </si>
  <si>
    <t>⎛ Q ⎞⎛  A,C,E,G,I,K,M,O,S  ⎞
⎝ ∅ ⎠⎝ b,d,f,h,j,l,n,p,r,t ⎠</t>
  </si>
  <si>
    <t>⎛ Q ⎞⎛      A,C,E,G,I,K,M,O,S      ⎞
⎝ ∅ ⎠⎝ a,b,d,e,g,h,j,k,m,n,p,q,s,t ⎠</t>
  </si>
  <si>
    <t>⎛ J ⎞⎛            B,D,F,H,L,N,P,R,T            ⎞
⎝ ∅ ⎠⎝ a,b,c,d,e,f,g,h,i,j,k,l,m,n,o,p,q,r,s,t ⎠</t>
  </si>
  <si>
    <t>⎛ B ⎞⎛           D,F,H,J,L,N,P,R,T           ⎞
⎝ ∅ ⎠⎝ a,b,c,d,e,f,g,h,i,j,k,l,m,n,o,p,q,r,s ⎠</t>
  </si>
  <si>
    <t>⎛ L ⎞⎛           B,D,F,H,J,N,P,R,T           ⎞
⎝ ∅ ⎠⎝ b,c,d,e,f,g,h,i,j,k,l,m,n,o,p,q,r,s,t ⎠</t>
  </si>
  <si>
    <t>⎛ B ⎞⎛          D,F,H,J,L,N,P,R,T          ⎞
⎝ ∅ ⎠⎝ b,c,d,e,f,g,h,i,j,k,l,m,n,o,p,q,r,s ⎠</t>
  </si>
  <si>
    <t>⎛ R ⎞⎛  B,D,F,H,J,L,N,P,T  ⎞
⎝ ∅ ⎠⎝ a,c,e,g,i,k,m,o,q,s ⎠</t>
  </si>
  <si>
    <t>⎛ R ⎞⎛  B,D,F,H,J,L,N,P,T  ⎞
⎝ ∅ ⎠⎝ b,d,f,h,j,l,n,p,r,t ⎠</t>
  </si>
  <si>
    <t>⎛ R ⎞⎛      B,D,F,H,J,L,N,P,T      ⎞
⎝ ∅ ⎠⎝ a,b,d,e,g,h,j,k,m,n,p,q,s,t ⎠</t>
  </si>
  <si>
    <t>⎛ J ⎞⎛        A,B,D,E,G,H,K,M,N,P,Q,S,T        ⎞
⎝ ∅ ⎠⎝ a,b,c,d,e,f,g,h,i,j,k,l,m,n,o,p,q,r,s,t ⎠</t>
  </si>
  <si>
    <t>⎛ M ⎞⎛       A,B,D,E,G,H,J,K,N,P,Q,S,T       ⎞
⎝ ∅ ⎠⎝ a,b,c,d,e,f,g,h,i,j,k,l,m,n,o,p,q,r,s ⎠</t>
  </si>
  <si>
    <t>⎛ E ⎞⎛       A,B,D,G,H,J,K,M,N,P,Q,S,T       ⎞
⎝ ∅ ⎠⎝ b,c,d,e,f,g,h,i,j,k,l,m,n,o,p,q,r,s,t ⎠</t>
  </si>
  <si>
    <t>⎛ M ⎞⎛      A,B,D,E,G,H,J,K,N,P,Q,S,T      ⎞
⎝ ∅ ⎠⎝ b,c,d,e,f,g,h,i,j,k,l,m,n,o,p,q,r,s ⎠</t>
  </si>
  <si>
    <t>⎛ G ⎞⎛ A,B,D,E,H,J,K,M,N,P,Q,S,T ⎞
⎝ ∅ ⎠⎝    a,c,e,g,i,k,m,o,q,s    ⎠</t>
  </si>
  <si>
    <t>⎛ Q ⎞⎛ A,B,D,E,G,H,J,K,M,N,P,S,T ⎞
⎝ ∅ ⎠⎝    b,d,f,h,j,l,n,p,r,t    ⎠</t>
  </si>
  <si>
    <t>⎛ Q ⎞⎛  A,B,D,E,G,H,J,K,M,N,P,S,T  ⎞
⎝ ∅ ⎠⎝ a,b,d,e,g,h,j,k,m,n,p,q,s,t ⎠</t>
  </si>
  <si>
    <t>⎛ ∅ ⎞⎛ A,B,C,D,E,F,G,H,I,J,K,L,M,N,O ⎞
⎝ a ⎠⎝  b,c,d,e,f,g,h,i,j,k,l,m,n,o  ⎠</t>
  </si>
  <si>
    <t>⎛ ∅ ⎞⎛ A,B,C,D,E,F,G,H,I,J,K,L,M,N,O ⎞
⎝ a ⎠⎝   b,c,d,e,f,g,h,i,j,k,l,m,n   ⎠</t>
  </si>
  <si>
    <t>⎛ ∅ ⎞⎛ A,B,C,D,E,F,G,H,I,J,K,L,M,N ⎞
⎝ a ⎠⎝ b,c,d,e,f,g,h,i,j,k,l,m,n,o ⎠</t>
  </si>
  <si>
    <t>⎛ ∅ ⎞⎛ A,B,C,D,E,F,G,H,I,J,K,L,M,N ⎞
⎝ a ⎠⎝  b,c,d,e,f,g,h,i,j,k,l,m,n  ⎠</t>
  </si>
  <si>
    <t>⎛ ∅ ⎞⎛ A,B,C,D,E,F,G,H,I,J,K,L,M,N ⎞
⎝ b ⎠⎝  c,d,e,f,g,h,i,j,k,l,m,n,o  ⎠</t>
  </si>
  <si>
    <t>⎛ ∅ ⎞⎛ A,B,C,D,E,F,G,H,I,J,K,L,M,N ⎞
⎝ b ⎠⎝   c,d,e,f,g,h,i,j,k,l,m,n   ⎠</t>
  </si>
  <si>
    <t>⎛ ∅ ⎞⎛ B,C,D,E,F,G,H,I,J,K,L,M,N,O ⎞
⎝ a ⎠⎝ b,c,d,e,f,g,h,i,j,k,l,m,n,o ⎠</t>
  </si>
  <si>
    <t>⎛ ∅ ⎞⎛ B,C,D,E,F,G,H,I,J,K,L,M,N,O ⎞
⎝ a ⎠⎝  b,c,d,e,f,g,h,i,j,k,l,m,n  ⎠</t>
  </si>
  <si>
    <t>⎛ ∅ ⎞⎛ B,C,D,E,F,G,H,I,J,K,L,M,N,O ⎞
⎝ b ⎠⎝  c,d,e,f,g,h,i,j,k,l,m,n,o  ⎠</t>
  </si>
  <si>
    <t>⎛ ∅ ⎞⎛ B,C,D,E,F,G,H,I,J,K,L,M,N,O ⎞
⎝ b ⎠⎝   c,d,e,f,g,h,i,j,k,l,m,n   ⎠</t>
  </si>
  <si>
    <t>⎛ ∅ ⎞⎛  B,C,D,E,F,G,H,I,J,K,L,M,N  ⎞
⎝ a ⎠⎝ b,c,d,e,f,g,h,i,j,k,l,m,n,o ⎠</t>
  </si>
  <si>
    <t>⎛ ∅ ⎞⎛ B,C,D,E,F,G,H,I,J,K,L,M,N ⎞
⎝ a ⎠⎝ b,c,d,e,f,g,h,i,j,k,l,m,n ⎠</t>
  </si>
  <si>
    <t>⎛ ∅ ⎞⎛ B,C,D,E,F,G,H,I,J,K,L,M,N ⎞
⎝ b ⎠⎝ c,d,e,f,g,h,i,j,k,l,m,n,o ⎠</t>
  </si>
  <si>
    <t>⎛ ∅ ⎞⎛ B,C,D,E,F,G,H,I,J,K,L,M,N ⎞
⎝ b ⎠⎝  c,d,e,f,g,h,i,j,k,l,m,n  ⎠</t>
  </si>
  <si>
    <t>⎛ ∅ ⎞⎛       A,C,E,G,I,K,M,O       ⎞
⎝ a ⎠⎝ b,c,d,e,f,g,h,i,j,k,l,m,n,o ⎠</t>
  </si>
  <si>
    <t>⎛ ∅ ⎞⎛      A,C,E,G,I,K,M,O      ⎞
⎝ a ⎠⎝ b,c,d,e,f,g,h,i,j,k,l,m,n ⎠</t>
  </si>
  <si>
    <t>⎛ ∅ ⎞⎛      A,C,E,G,I,K,M,O      ⎞
⎝ b ⎠⎝ c,d,e,f,g,h,i,j,k,l,m,n,o ⎠</t>
  </si>
  <si>
    <t>⎛ ∅ ⎞⎛     A,C,E,G,I,K,M,O     ⎞
⎝ b ⎠⎝ c,d,e,f,g,h,i,j,k,l,m,n ⎠</t>
  </si>
  <si>
    <t>⎛ ∅ ⎞⎛        B,D,F,H,J,L,N        ⎞
⎝ a ⎠⎝ b,c,d,e,f,g,h,i,j,k,l,m,n,o ⎠</t>
  </si>
  <si>
    <t>⎛ ∅ ⎞⎛       B,D,F,H,J,L,N       ⎞
⎝ a ⎠⎝ b,c,d,e,f,g,h,i,j,k,l,m,n ⎠</t>
  </si>
  <si>
    <t>⎛ ∅ ⎞⎛       B,D,F,H,J,L,N       ⎞
⎝ b ⎠⎝ c,d,e,f,g,h,i,j,k,l,m,n,o ⎠</t>
  </si>
  <si>
    <t>⎛ ∅ ⎞⎛      B,D,F,H,J,L,N      ⎞
⎝ b ⎠⎝ c,d,e,f,g,h,i,j,k,l,m,n ⎠</t>
  </si>
  <si>
    <t>⎛ ∅ ⎞⎛     A,B,D,E,G,H,J,K,M,N     ⎞
⎝ a ⎠⎝ b,c,d,e,f,g,h,i,j,k,l,m,n,o ⎠</t>
  </si>
  <si>
    <t>⎛ ∅ ⎞⎛    A,B,D,E,G,H,J,K,M,N    ⎞
⎝ a ⎠⎝ b,c,d,e,f,g,h,i,j,k,l,m,n ⎠</t>
  </si>
  <si>
    <t>⎛ ∅ ⎞⎛    A,B,D,E,G,H,J,K,M,N    ⎞
⎝ b ⎠⎝ c,d,e,f,g,h,i,j,k,l,m,n,o ⎠</t>
  </si>
  <si>
    <t>⎛ ∅ ⎞⎛   A,B,D,E,G,H,J,K,M,N   ⎞
⎝ b ⎠⎝ c,d,e,f,g,h,i,j,k,l,m,n ⎠</t>
  </si>
  <si>
    <t>⎛ G ⎞⎛ A,C,E,I,K,M,O ⎞
⎝ ∅ ⎠⎝ b,d,f,h,j,l,n ⎠</t>
  </si>
  <si>
    <t>⎛ E ⎞⎛  A,C,G,I,K,M,O  ⎞
⎝ ∅ ⎠⎝ a,c,e,g,i,k,m,o ⎠</t>
  </si>
  <si>
    <t>⎛ O ⎞⎛    A,C,E,G,I,K,M    ⎞
⎝ ∅ ⎠⎝ a,b,d,e,g,h,j,k,m,n ⎠</t>
  </si>
  <si>
    <t>⎛ L ⎞⎛   B,D,F,H,J,N   ⎞
⎝ ∅ ⎠⎝ a,c,e,g,i,k,m,o ⎠</t>
  </si>
  <si>
    <t>⎛ N ⎞⎛  B,D,F,H,J,L  ⎞
⎝ ∅ ⎠⎝ b,d,f,h,j,l,n ⎠</t>
  </si>
  <si>
    <t>⎛ N ⎞⎛     B,D,F,H,J,L     ⎞
⎝ ∅ ⎠⎝ a,b,d,e,g,h,j,k,m,n ⎠</t>
  </si>
  <si>
    <t>⎛ G ⎞⎛ A,B,D,E,H,J,K,M,N ⎞
⎝ ∅ ⎠⎝   b,d,f,h,j,l,n   ⎠</t>
  </si>
  <si>
    <t>⎛ E ⎞⎛ A,B,D,G,H,J,K,M,N ⎞
⎝ ∅ ⎠⎝  a,c,e,g,i,k,m,o  ⎠</t>
  </si>
  <si>
    <t>⎛ N ⎞⎛  A,B,D,E,G,H,J,K,M  ⎞
⎝ ∅ ⎠⎝ a,b,d,e,g,h,j,k,m,n ⎠</t>
  </si>
  <si>
    <t xml:space="preserve">Especifícaciones de los equipos en los que se ejecutaron los programas para cada una de la estrategías </t>
  </si>
  <si>
    <t xml:space="preserve">Computador 1: </t>
  </si>
  <si>
    <t xml:space="preserve">Gigabyte X570 Gaming X </t>
  </si>
  <si>
    <t>16 GB RAM Corsair Vengeanse 3200MT/s</t>
  </si>
  <si>
    <t>NVIDIA RTX 2060 6GB</t>
  </si>
  <si>
    <t>Samsung SSD 980 1TB</t>
  </si>
  <si>
    <t xml:space="preserve">Computador 2: </t>
  </si>
  <si>
    <t>Intel Core i5-8250U</t>
  </si>
  <si>
    <t>ASUS VivoBook X542U</t>
  </si>
  <si>
    <t>16 GB RAM DDR4</t>
  </si>
  <si>
    <t>NVIDIA GeForce 940MX 2GB</t>
  </si>
  <si>
    <t>AMD Ryzen 5 3600XT 6C/12T</t>
  </si>
  <si>
    <t>Prueba</t>
  </si>
  <si>
    <t>Pyphi</t>
  </si>
  <si>
    <t>Qnodes</t>
  </si>
  <si>
    <t>ABC_{t+1}|ABC_{t}</t>
  </si>
  <si>
    <t>ABC_{t+1}|AB_{t}</t>
  </si>
  <si>
    <t>ABC_{t+1}|AC_{t}</t>
  </si>
  <si>
    <t>ABC_{t+1}|BC_{t}</t>
  </si>
  <si>
    <t>ABC_{t+1}|B_{t}</t>
  </si>
  <si>
    <t>AB_{t+1}|ABC_{t}</t>
  </si>
  <si>
    <t>AB_{t+1}|AB_{t}</t>
  </si>
  <si>
    <t>AB_{t+1}|AC_{t}</t>
  </si>
  <si>
    <t>AB_{t+1}|BC_{t}</t>
  </si>
  <si>
    <t>AB_{t+1}|B_{t}</t>
  </si>
  <si>
    <t>AC_{t+1}|ABC_{t}</t>
  </si>
  <si>
    <t>AC_{t+1}|AB_{t}</t>
  </si>
  <si>
    <t>AC_{t+1}|AC_{t}</t>
  </si>
  <si>
    <t>AC_{t+1}|BC_{t}</t>
  </si>
  <si>
    <t>AC_{t+1}|B_{t}</t>
  </si>
  <si>
    <t>BC_{t+1}|ABC_{t}</t>
  </si>
  <si>
    <t>BC_{t+1}|AB_{t}</t>
  </si>
  <si>
    <t>BC_{t+1}|AC_{t}</t>
  </si>
  <si>
    <t>BC_{t+1}|BC_{t}</t>
  </si>
  <si>
    <t>BC_{t+1}|B_{t}</t>
  </si>
  <si>
    <t>B_{t+1}|ABC_{t}</t>
  </si>
  <si>
    <t>B_{t+1}|AB_{t}</t>
  </si>
  <si>
    <t>B_{t+1}|AC_{t}</t>
  </si>
  <si>
    <t>B_{t+1}|BC_{t}</t>
  </si>
  <si>
    <t>B_{t+1}|B_{t}</t>
  </si>
  <si>
    <t xml:space="preserve">⎛ B ⎞⎛  A,C  ⎞_x000D_
⎝ ∅ ⎠⎝ a,b,c ⎠_x000D_
</t>
  </si>
  <si>
    <t xml:space="preserve">⎛ A ⎞⎛ B,C ⎞_x000D_
⎝ ∅ ⎠⎝ a,b ⎠_x000D_
</t>
  </si>
  <si>
    <t xml:space="preserve">⎛ C ⎞⎛ A,B ⎞_x000D_
⎝ ∅ ⎠⎝ b,c ⎠_x000D_
</t>
  </si>
  <si>
    <t xml:space="preserve">⎛ B ⎞⎛ A,C ⎞_x000D_
⎝ ∅ ⎠⎝  b  ⎠_x000D_
</t>
  </si>
  <si>
    <t xml:space="preserve">⎛ C ⎞⎛ A,B ⎞_x000D_
⎝ ∅ ⎠⎝ a,c ⎠_x000D_
</t>
  </si>
  <si>
    <t xml:space="preserve">⎛ B,C ⎞⎛ A ⎞_x000D_
⎝  ∅  ⎠⎝ b ⎠_x000D_
</t>
  </si>
  <si>
    <t>Comparacion</t>
  </si>
  <si>
    <t>% Perdida Pro</t>
  </si>
  <si>
    <t xml:space="preserve">⎛ ∅ ⎞⎛ A,B ⎞_x000D_
⎝ a ⎠⎝ b,c ⎠_x000D_
</t>
  </si>
  <si>
    <t xml:space="preserve">⎛ B ⎞⎛ A ⎞_x000D_
⎝ a ⎠⎝ b ⎠_x000D_
</t>
  </si>
  <si>
    <t xml:space="preserve">⎛ B ⎞⎛  A  ⎞_x000D_
⎝ ∅ ⎠⎝ b,c ⎠_x000D_
</t>
  </si>
  <si>
    <t xml:space="preserve">⎛ B ⎞⎛ A ⎞_x000D_
⎝ ∅ ⎠⎝ b ⎠_x000D_
</t>
  </si>
  <si>
    <t xml:space="preserve">⎛ ∅ ⎞⎛ A,B ⎞_x000D_
⎝ a ⎠⎝  c  ⎠_x000D_
</t>
  </si>
  <si>
    <t xml:space="preserve">⎛  C  ⎞⎛ B ⎞_x000D_
⎝ a,b ⎠⎝ c ⎠_x000D_
</t>
  </si>
  <si>
    <t xml:space="preserve">⎛ B ⎞⎛  C  ⎞_x000D_
⎝ ∅ ⎠⎝ a,b ⎠_x000D_
</t>
  </si>
  <si>
    <t xml:space="preserve">⎛ C ⎞⎛  B  ⎞_x000D_
⎝ ∅ ⎠⎝ b,c ⎠_x000D_
</t>
  </si>
  <si>
    <t xml:space="preserve">⎛ B ⎞⎛ C ⎞_x000D_
⎝ ∅ ⎠⎝ b ⎠_x000D_
</t>
  </si>
  <si>
    <t xml:space="preserve">⎛ C ⎞⎛  B  ⎞_x000D_
⎝ ∅ ⎠⎝ a,c ⎠_x000D_
</t>
  </si>
  <si>
    <t xml:space="preserve">⎛ ∅ ⎞⎛  B  ⎞_x000D_
⎝ a ⎠⎝ b,c ⎠_x000D_
</t>
  </si>
  <si>
    <t xml:space="preserve">⎛ B ⎞⎛ ∅ ⎞_x000D_
⎝ a ⎠⎝ b ⎠_x000D_
</t>
  </si>
  <si>
    <t xml:space="preserve">⎛ ∅ ⎞⎛ B ⎞_x000D_
⎝ b ⎠⎝ c ⎠_x000D_
</t>
  </si>
  <si>
    <t xml:space="preserve">⎛ B ⎞⎛ ∅ ⎞_x000D_
⎝ ∅ ⎠⎝ b ⎠_x000D_
</t>
  </si>
  <si>
    <t xml:space="preserve">⎛ ∅ ⎞⎛ B ⎞_x000D_
⎝ a ⎠⎝ c ⎠_x000D_
</t>
  </si>
  <si>
    <t xml:space="preserve">⎛ C ⎞⎛   A   ⎞_x000D_
⎝ ∅ ⎠⎝ a,b,c ⎠_x000D_
</t>
  </si>
  <si>
    <t xml:space="preserve">⎛ A ⎞⎛  C  ⎞_x000D_
⎝ ∅ ⎠⎝ a,b ⎠_x000D_
</t>
  </si>
  <si>
    <t xml:space="preserve">⎛ C ⎞⎛  A  ⎞_x000D_
⎝ ∅ ⎠⎝ b,c ⎠_x000D_
</t>
  </si>
  <si>
    <t xml:space="preserve">⎛ C ⎞⎛ A ⎞_x000D_
⎝ ∅ ⎠⎝ b ⎠_x000D_
</t>
  </si>
  <si>
    <t xml:space="preserve">⎛ C ⎞⎛  A  ⎞_x000D_
⎝ ∅ ⎠⎝ a,c ⎠_x000D_
</t>
  </si>
  <si>
    <t xml:space="preserve">⎛ B ⎞⎛   A   ⎞_x000D_
⎝ ∅ ⎠⎝ a,b,c ⎠_x000D_
</t>
  </si>
  <si>
    <t xml:space="preserve">⎛ A ⎞⎛  B  ⎞_x000D_
⎝ ∅ ⎠⎝ a,b ⎠_x000D_
</t>
  </si>
  <si>
    <t xml:space="preserve">⎛ A ⎞⎛ B ⎞_x000D_
⎝ a ⎠⎝ c ⎠_x000D_
</t>
  </si>
  <si>
    <t xml:space="preserve">⎛ B ⎞⎛   C   ⎞_x000D_
⎝ ∅ ⎠⎝ a,b,c ⎠_x000D_
</t>
  </si>
  <si>
    <t xml:space="preserve">⎛ ∅ ⎞⎛ B,C ⎞_x000D_
⎝ b ⎠⎝  ∅  ⎠_x000D_
</t>
  </si>
  <si>
    <t xml:space="preserve">⎛ ∅ ⎞⎛ B,C ⎞_x000D_
⎝ a ⎠⎝  c  ⎠_x000D_
</t>
  </si>
  <si>
    <t xml:space="preserve">⎛ ∅ ⎞⎛ B ⎞_x000D_
⎝ a ⎠⎝ b ⎠_x000D_
</t>
  </si>
  <si>
    <t xml:space="preserve">⎛ ∅ ⎞⎛ B ⎞_x000D_
⎝ c ⎠⎝ b ⎠_x000D_
</t>
  </si>
  <si>
    <t xml:space="preserve">⎛ ∅ ⎞⎛ B ⎞_x000D_
⎝ b ⎠⎝ ∅ ⎠_x000D_
</t>
  </si>
  <si>
    <t>ABCDE_{t+1}|ABCDE_{t}</t>
  </si>
  <si>
    <t>ABCDE_{t+1}|ABCD_{t}</t>
  </si>
  <si>
    <t>ABCDE_{t+1}|BCDE_{t}</t>
  </si>
  <si>
    <t>ABCDE_{t+1}|BCD_{t}</t>
  </si>
  <si>
    <t>ABCDE_{t+1}|ACE_{t}</t>
  </si>
  <si>
    <t>ABCDE_{t+1}|BD_{t}</t>
  </si>
  <si>
    <t>ABCDE_{t+1}|ABDE_{t}</t>
  </si>
  <si>
    <t>ABCD_{t+1}|ABCDE_{t}</t>
  </si>
  <si>
    <t>ABCD_{t+1}|ABCD_{t}</t>
  </si>
  <si>
    <t>ABCD_{t+1}|BCDE_{t}</t>
  </si>
  <si>
    <t>ABCD_{t+1}|BCD_{t}</t>
  </si>
  <si>
    <t>ABCD_{t+1}|ACE_{t}</t>
  </si>
  <si>
    <t>ABCD_{t+1}|BD_{t}</t>
  </si>
  <si>
    <t>ABCD_{t+1}|ABDE_{t}</t>
  </si>
  <si>
    <t>BCDE_{t+1}|ABCDE_{t}</t>
  </si>
  <si>
    <t>BCDE_{t+1}|ABCD_{t}</t>
  </si>
  <si>
    <t>BCDE_{t+1}|BCDE_{t}</t>
  </si>
  <si>
    <t>BCDE_{t+1}|BCD_{t}</t>
  </si>
  <si>
    <t>BCDE_{t+1}|ACE_{t}</t>
  </si>
  <si>
    <t>BCDE_{t+1}|BD_{t}</t>
  </si>
  <si>
    <t>BCDE_{t+1}|ABDE_{t}</t>
  </si>
  <si>
    <t>BCD_{t+1}|ABCDE_{t}</t>
  </si>
  <si>
    <t>BCD_{t+1}|ABCD_{t}</t>
  </si>
  <si>
    <t>BCD_{t+1}|BCDE_{t}</t>
  </si>
  <si>
    <t>BCD_{t+1}|BCD_{t}</t>
  </si>
  <si>
    <t>BCD_{t+1}|ACE_{t}</t>
  </si>
  <si>
    <t>BCD_{t+1}|BD_{t}</t>
  </si>
  <si>
    <t>BCD_{t+1}|ABDE_{t}</t>
  </si>
  <si>
    <t>ACE_{t+1}|ABCDE_{t}</t>
  </si>
  <si>
    <t>ACE_{t+1}|ABCD_{t}</t>
  </si>
  <si>
    <t>ACE_{t+1}|BCDE_{t}</t>
  </si>
  <si>
    <t>ACE_{t+1}|BCD_{t}</t>
  </si>
  <si>
    <t>ACE_{t+1}|ACE_{t}</t>
  </si>
  <si>
    <t>ACE_{t+1}|BD_{t}</t>
  </si>
  <si>
    <t>ACE_{t+1}|ABDE_{t}</t>
  </si>
  <si>
    <t>BD_{t+1}|ABCDE_{t}</t>
  </si>
  <si>
    <t>BD_{t+1}|ABCD_{t}</t>
  </si>
  <si>
    <t>BD_{t+1}|BCDE_{t}</t>
  </si>
  <si>
    <t>BD_{t+1}|BCD_{t}</t>
  </si>
  <si>
    <t>BD_{t+1}|ACE_{t}</t>
  </si>
  <si>
    <t>BD_{t+1}|BD_{t}</t>
  </si>
  <si>
    <t>BD_{t+1}|ABDE_{t}</t>
  </si>
  <si>
    <t>ABDE_{t+1}|ABCDE_{t}</t>
  </si>
  <si>
    <t>ABDE_{t+1}|ABCD_{t}</t>
  </si>
  <si>
    <t>ABDE_{t+1}|BCDE_{t}</t>
  </si>
  <si>
    <t>ABDE_{t+1}|BCD_{t}</t>
  </si>
  <si>
    <t>ABDE_{t+1}|ACE_{t}</t>
  </si>
  <si>
    <t>ABDE_{t+1}|BD_{t}</t>
  </si>
  <si>
    <t>ABDE_{t+1}|ABDE_{t}</t>
  </si>
  <si>
    <t>SpeedUp Pro (X)</t>
  </si>
  <si>
    <t xml:space="preserve">⎛ D ⎞⎛  A,B,C,E  ⎞_x000D_
⎝ ∅ ⎠⎝ a,b,c,d,e ⎠_x000D_
</t>
  </si>
  <si>
    <t xml:space="preserve">⎛ D ⎞⎛ A,B,C,E ⎞_x000D_
⎝ ∅ ⎠⎝ a,b,c,d ⎠_x000D_
</t>
  </si>
  <si>
    <t xml:space="preserve">⎛ C ⎞⎛ A,B,D,E ⎞_x000D_
⎝ ∅ ⎠⎝ b,c,d,e ⎠_x000D_
</t>
  </si>
  <si>
    <t xml:space="preserve">⎛ C ⎞⎛ A,B,D,E ⎞_x000D_
⎝ ∅ ⎠⎝  b,c,d  ⎠_x000D_
</t>
  </si>
  <si>
    <t xml:space="preserve">⎛ C ⎞⎛ A,B,D,E ⎞_x000D_
⎝ ∅ ⎠⎝  a,c,e  ⎠_x000D_
</t>
  </si>
  <si>
    <t xml:space="preserve">⎛ B ⎞⎛ A,C,D,E ⎞_x000D_
⎝ ∅ ⎠⎝   b,d   ⎠_x000D_
</t>
  </si>
  <si>
    <t xml:space="preserve">⎛ D ⎞⎛ A,B,C,E ⎞_x000D_
⎝ ∅ ⎠⎝ a,b,d,e ⎠_x000D_
</t>
  </si>
  <si>
    <t xml:space="preserve">⎛ D ⎞⎛   A,B,C   ⎞_x000D_
⎝ ∅ ⎠⎝ a,b,c,d,e ⎠_x000D_
</t>
  </si>
  <si>
    <t xml:space="preserve">⎛ D ⎞⎛  A,B,C  ⎞_x000D_
⎝ ∅ ⎠⎝ a,b,c,d ⎠_x000D_
</t>
  </si>
  <si>
    <t xml:space="preserve">⎛ C ⎞⎛  A,B,D  ⎞_x000D_
⎝ ∅ ⎠⎝ b,c,d,e ⎠_x000D_
</t>
  </si>
  <si>
    <t xml:space="preserve">⎛ C ⎞⎛ A,B,D ⎞_x000D_
⎝ ∅ ⎠⎝ b,c,d ⎠_x000D_
</t>
  </si>
  <si>
    <t xml:space="preserve">⎛ C ⎞⎛ A,B,D ⎞_x000D_
⎝ ∅ ⎠⎝ a,c,e ⎠_x000D_
</t>
  </si>
  <si>
    <t xml:space="preserve">⎛ B ⎞⎛ A,C,D ⎞_x000D_
⎝ ∅ ⎠⎝  b,d  ⎠_x000D_
</t>
  </si>
  <si>
    <t xml:space="preserve">⎛ D ⎞⎛  A,B,C  ⎞_x000D_
⎝ ∅ ⎠⎝ a,b,d,e ⎠_x000D_
</t>
  </si>
  <si>
    <t xml:space="preserve">⎛ D ⎞⎛   B,C,E   ⎞_x000D_
⎝ ∅ ⎠⎝ a,b,c,d,e ⎠_x000D_
</t>
  </si>
  <si>
    <t xml:space="preserve">⎛ D ⎞⎛  B,C,E  ⎞_x000D_
⎝ ∅ ⎠⎝ a,b,c,d ⎠_x000D_
</t>
  </si>
  <si>
    <t xml:space="preserve">⎛ C ⎞⎛  B,D,E  ⎞_x000D_
⎝ ∅ ⎠⎝ b,c,d,e ⎠_x000D_
</t>
  </si>
  <si>
    <t xml:space="preserve">⎛ C ⎞⎛ B,D,E ⎞_x000D_
⎝ ∅ ⎠⎝ b,c,d ⎠_x000D_
</t>
  </si>
  <si>
    <t xml:space="preserve">⎛ C ⎞⎛ B,D,E ⎞_x000D_
⎝ ∅ ⎠⎝ a,c,e ⎠_x000D_
</t>
  </si>
  <si>
    <t xml:space="preserve">⎛ B ⎞⎛ C,D,E ⎞_x000D_
⎝ ∅ ⎠⎝  b,d  ⎠_x000D_
</t>
  </si>
  <si>
    <t xml:space="preserve">⎛ D ⎞⎛  B,C,E  ⎞_x000D_
⎝ ∅ ⎠⎝ a,b,d,e ⎠_x000D_
</t>
  </si>
  <si>
    <t xml:space="preserve">⎛ D ⎞⎛    B,C    ⎞_x000D_
⎝ ∅ ⎠⎝ a,b,c,d,e ⎠_x000D_
</t>
  </si>
  <si>
    <t xml:space="preserve">⎛ D ⎞⎛   B,C   ⎞_x000D_
⎝ ∅ ⎠⎝ a,b,c,d ⎠_x000D_
</t>
  </si>
  <si>
    <t xml:space="preserve">⎛ C ⎞⎛   B,D   ⎞_x000D_
⎝ ∅ ⎠⎝ b,c,d,e ⎠_x000D_
</t>
  </si>
  <si>
    <t xml:space="preserve">⎛ C ⎞⎛  B,D  ⎞_x000D_
⎝ ∅ ⎠⎝ b,c,d ⎠_x000D_
</t>
  </si>
  <si>
    <t xml:space="preserve">⎛ C ⎞⎛  B,D  ⎞_x000D_
⎝ ∅ ⎠⎝ a,c,e ⎠_x000D_
</t>
  </si>
  <si>
    <t xml:space="preserve">⎛ B ⎞⎛ C,D ⎞_x000D_
⎝ ∅ ⎠⎝ b,d ⎠_x000D_
</t>
  </si>
  <si>
    <t xml:space="preserve">⎛ D ⎞⎛   B,C   ⎞_x000D_
⎝ ∅ ⎠⎝ a,b,d,e ⎠_x000D_
</t>
  </si>
  <si>
    <t xml:space="preserve">⎛  A,C,E  ⎞⎛ ∅ ⎞_x000D_
⎝ a,b,c,d ⎠⎝ e ⎠_x000D_
</t>
  </si>
  <si>
    <t xml:space="preserve">⎛ C ⎞⎛   A,E   ⎞_x000D_
⎝ ∅ ⎠⎝ a,b,c,d ⎠_x000D_
</t>
  </si>
  <si>
    <t xml:space="preserve">⎛ C ⎞⎛   A,E   ⎞_x000D_
⎝ ∅ ⎠⎝ b,c,d,e ⎠_x000D_
</t>
  </si>
  <si>
    <t xml:space="preserve">⎛ C ⎞⎛  A,E  ⎞_x000D_
⎝ ∅ ⎠⎝ b,c,d ⎠_x000D_
</t>
  </si>
  <si>
    <t xml:space="preserve">⎛ C ⎞⎛  A,E  ⎞_x000D_
⎝ ∅ ⎠⎝ a,c,e ⎠_x000D_
</t>
  </si>
  <si>
    <t xml:space="preserve">⎛ C ⎞⎛ A,E ⎞_x000D_
⎝ ∅ ⎠⎝ b,d ⎠_x000D_
</t>
  </si>
  <si>
    <t xml:space="preserve">⎛ A,C,E ⎞⎛ ∅ ⎞_x000D_
⎝ a,b,d ⎠⎝ e ⎠_x000D_
</t>
  </si>
  <si>
    <t xml:space="preserve">⎛ D ⎞⎛     B     ⎞_x000D_
⎝ ∅ ⎠⎝ a,b,c,d,e ⎠_x000D_
</t>
  </si>
  <si>
    <t xml:space="preserve">⎛ D ⎞⎛    B    ⎞_x000D_
⎝ ∅ ⎠⎝ a,b,c,d ⎠_x000D_
</t>
  </si>
  <si>
    <t xml:space="preserve">⎛ D ⎞⎛    B    ⎞_x000D_
⎝ ∅ ⎠⎝ b,c,d,e ⎠_x000D_
</t>
  </si>
  <si>
    <t xml:space="preserve">⎛ D ⎞⎛   B   ⎞_x000D_
⎝ ∅ ⎠⎝ b,c,d ⎠_x000D_
</t>
  </si>
  <si>
    <t xml:space="preserve">⎛ D ⎞⎛   B   ⎞_x000D_
⎝ ∅ ⎠⎝ a,c,e ⎠_x000D_
</t>
  </si>
  <si>
    <t xml:space="preserve">⎛ B ⎞⎛  D  ⎞_x000D_
⎝ ∅ ⎠⎝ b,d ⎠_x000D_
</t>
  </si>
  <si>
    <t xml:space="preserve">⎛ D ⎞⎛    B    ⎞_x000D_
⎝ ∅ ⎠⎝ a,b,d,e ⎠_x000D_
</t>
  </si>
  <si>
    <t xml:space="preserve">⎛ D ⎞⎛   A,B,E   ⎞_x000D_
⎝ ∅ ⎠⎝ a,b,c,d,e ⎠_x000D_
</t>
  </si>
  <si>
    <t xml:space="preserve">⎛ D ⎞⎛  A,B,E  ⎞_x000D_
⎝ ∅ ⎠⎝ a,b,c,d ⎠_x000D_
</t>
  </si>
  <si>
    <t xml:space="preserve">⎛ D ⎞⎛  A,B,E  ⎞_x000D_
⎝ ∅ ⎠⎝ b,c,d,e ⎠_x000D_
</t>
  </si>
  <si>
    <t xml:space="preserve">⎛ D ⎞⎛ A,B,E ⎞_x000D_
⎝ ∅ ⎠⎝ b,c,d ⎠_x000D_
</t>
  </si>
  <si>
    <t xml:space="preserve">⎛ D ⎞⎛ A,B,E ⎞_x000D_
⎝ ∅ ⎠⎝ a,c,e ⎠_x000D_
</t>
  </si>
  <si>
    <t xml:space="preserve">⎛ B ⎞⎛ A,D,E ⎞_x000D_
⎝ ∅ ⎠⎝  b,d  ⎠_x000D_
</t>
  </si>
  <si>
    <t xml:space="preserve">⎛ D ⎞⎛  A,B,E  ⎞_x000D_
⎝ ∅ ⎠⎝ a,b,d,e ⎠_x000D_
</t>
  </si>
  <si>
    <t xml:space="preserve">⎛ C,D ⎞⎛  A,B,E  ⎞_x000D_
⎝  ∅  ⎠⎝ b,c,d,e ⎠_x000D_
</t>
  </si>
  <si>
    <t xml:space="preserve">⎛ C,D ⎞⎛ A,B,E ⎞_x000D_
⎝  ∅  ⎠⎝ b,c,d ⎠_x000D_
</t>
  </si>
  <si>
    <t xml:space="preserve">⎛ ∅ ⎞⎛ A,B,C,D,E ⎞_x000D_
⎝ a ⎠⎝    c,e    ⎠_x000D_
</t>
  </si>
  <si>
    <t xml:space="preserve">⎛ B,C,D ⎞⎛ A,E ⎞_x000D_
⎝   ∅   ⎠⎝ b,d ⎠_x000D_
</t>
  </si>
  <si>
    <t xml:space="preserve">⎛ C,D ⎞⎛   A,B   ⎞_x000D_
⎝  ∅  ⎠⎝ b,c,d,e ⎠_x000D_
</t>
  </si>
  <si>
    <t xml:space="preserve">⎛ C,D ⎞⎛  A,B  ⎞_x000D_
⎝  ∅  ⎠⎝ b,c,d ⎠_x000D_
</t>
  </si>
  <si>
    <t xml:space="preserve">⎛ ∅ ⎞⎛ A,B,C,D ⎞_x000D_
⎝ a ⎠⎝   c,e   ⎠_x000D_
</t>
  </si>
  <si>
    <t xml:space="preserve">⎛ B,C,D ⎞⎛  A  ⎞_x000D_
⎝   ∅   ⎠⎝ b,d ⎠_x000D_
</t>
  </si>
  <si>
    <t xml:space="preserve">⎛ B,D ⎞⎛   C,E   ⎞_x000D_
⎝  c  ⎠⎝ a,b,d,e ⎠_x000D_
</t>
  </si>
  <si>
    <t xml:space="preserve">⎛ C,D ⎞⎛   B,E   ⎞_x000D_
⎝  ∅  ⎠⎝ b,c,d,e ⎠_x000D_
</t>
  </si>
  <si>
    <t xml:space="preserve">⎛ C,D ⎞⎛  B,E  ⎞_x000D_
⎝  ∅  ⎠⎝ b,c,d ⎠_x000D_
</t>
  </si>
  <si>
    <t xml:space="preserve">⎛ ∅ ⎞⎛ B,C,D,E ⎞_x000D_
⎝ a ⎠⎝   c,e   ⎠_x000D_
</t>
  </si>
  <si>
    <t xml:space="preserve">⎛ B,C,D ⎞⎛  E  ⎞_x000D_
⎝   ∅   ⎠⎝ b,d ⎠_x000D_
</t>
  </si>
  <si>
    <t xml:space="preserve">⎛ B,D ⎞⎛    C    ⎞_x000D_
⎝  c  ⎠⎝ a,b,d,e ⎠_x000D_
</t>
  </si>
  <si>
    <t xml:space="preserve">⎛ ∅ ⎞⎛ B,C,D ⎞_x000D_
⎝ e ⎠⎝ b,c,d ⎠_x000D_
</t>
  </si>
  <si>
    <t xml:space="preserve">⎛ ∅ ⎞⎛ B,C,D ⎞_x000D_
⎝ d ⎠⎝  b,c  ⎠_x000D_
</t>
  </si>
  <si>
    <t xml:space="preserve">⎛ ∅ ⎞⎛ B,C,D ⎞_x000D_
⎝ a ⎠⎝  c,e  ⎠_x000D_
</t>
  </si>
  <si>
    <t xml:space="preserve">⎛ ∅ ⎞⎛ B,C,D ⎞_x000D_
⎝ d ⎠⎝   b   ⎠_x000D_
</t>
  </si>
  <si>
    <t xml:space="preserve">⎛ ∅ ⎞⎛  A,C,E  ⎞_x000D_
⎝ a ⎠⎝ b,c,d,e ⎠_x000D_
</t>
  </si>
  <si>
    <t xml:space="preserve">⎛ ∅ ⎞⎛ A,C,E ⎞_x000D_
⎝ a ⎠⎝  c,e  ⎠_x000D_
</t>
  </si>
  <si>
    <t xml:space="preserve">⎛ ∅ ⎞⎛   B,D   ⎞_x000D_
⎝ a ⎠⎝ b,c,d,e ⎠_x000D_
</t>
  </si>
  <si>
    <t xml:space="preserve">⎛ ∅ ⎞⎛  B,D  ⎞_x000D_
⎝ a ⎠⎝ b,c,d ⎠_x000D_
</t>
  </si>
  <si>
    <t xml:space="preserve">⎛ ∅ ⎞⎛  B,D  ⎞_x000D_
⎝ e ⎠⎝ b,c,d ⎠_x000D_
</t>
  </si>
  <si>
    <t xml:space="preserve">⎛ ∅ ⎞⎛ B,D ⎞_x000D_
⎝ d ⎠⎝ b,c ⎠_x000D_
</t>
  </si>
  <si>
    <t xml:space="preserve">⎛ ∅ ⎞⎛ B,D ⎞_x000D_
⎝ a ⎠⎝ c,e ⎠_x000D_
</t>
  </si>
  <si>
    <t xml:space="preserve">⎛ ∅ ⎞⎛ B,D ⎞_x000D_
⎝ d ⎠⎝  b  ⎠_x000D_
</t>
  </si>
  <si>
    <t xml:space="preserve">⎛ ∅ ⎞⎛  B,D  ⎞_x000D_
⎝ d ⎠⎝ a,b,e ⎠_x000D_
</t>
  </si>
  <si>
    <t xml:space="preserve">⎛ ∅ ⎞⎛ A,B,D,E ⎞_x000D_
⎝ a ⎠⎝ b,c,d,e ⎠_x000D_
</t>
  </si>
  <si>
    <t xml:space="preserve">⎛ ∅ ⎞⎛ A,B,D,E ⎞_x000D_
⎝ a ⎠⎝   c,e   ⎠_x000D_
</t>
  </si>
  <si>
    <t xml:space="preserve">⎛ B,D ⎞⎛ A,E ⎞_x000D_
⎝  ∅  ⎠⎝ b,d ⎠_x000D_
</t>
  </si>
  <si>
    <t>PROMEDIO</t>
  </si>
  <si>
    <t>MINIMO</t>
  </si>
  <si>
    <t>MAXIMO</t>
  </si>
  <si>
    <t>Perdida Phi</t>
  </si>
  <si>
    <t>Perdida Pro</t>
  </si>
  <si>
    <t>Tiempo Phi</t>
  </si>
  <si>
    <t>Tiempo Pro</t>
  </si>
  <si>
    <t>Proyecto (Pro)</t>
  </si>
  <si>
    <t>ABCDEFGHIJ_{t+1}|ABCDEFGHI_{t}</t>
  </si>
  <si>
    <t>ABCDEFGHIJ_{t+1}|BCDEFGHIJ_{t}</t>
  </si>
  <si>
    <t>ABCDEFGHIJ_{t+1}|BCDEFGHI_{t}</t>
  </si>
  <si>
    <t>ABCDEFGHIJ_{t+1}|ACEGI_{t}</t>
  </si>
  <si>
    <t>ABCDEFGHIJ_{t+1}|BDFHJ_{t}</t>
  </si>
  <si>
    <t>ABCDEFGHIJ_{t+1}|ABDEGHJ_{t}</t>
  </si>
  <si>
    <t>ABCDEFGHI_{t+1}|ABCDEFGHIJ_{t}</t>
  </si>
  <si>
    <t>ABCDEFGHI_{t+1}|ABCDEFGHI_{t}</t>
  </si>
  <si>
    <t>ABCDEFGHI_{t+1}|BCDEFGHIJ_{t}</t>
  </si>
  <si>
    <t>ABCDEFGHI_{t+1}|BCDEFGHI_{t}</t>
  </si>
  <si>
    <t>ABCDEFGHI_{t+1}|ACEGI_{t}</t>
  </si>
  <si>
    <t>ABCDEFGHI_{t+1}|BDFHJ_{t}</t>
  </si>
  <si>
    <t>ABCDEFGHI_{t+1}|ABDEGHJ_{t}</t>
  </si>
  <si>
    <t>BCDEFGHIJ_{t+1}|ABCDEFGHIJ_{t}</t>
  </si>
  <si>
    <t>BCDEFGHIJ_{t+1}|ABCDEFGHI_{t}</t>
  </si>
  <si>
    <t>BCDEFGHIJ_{t+1}|BCDEFGHIJ_{t}</t>
  </si>
  <si>
    <t>BCDEFGHIJ_{t+1}|BCDEFGHI_{t}</t>
  </si>
  <si>
    <t>BCDEFGHIJ_{t+1}|ACEGI_{t}</t>
  </si>
  <si>
    <t>BCDEFGHIJ_{t+1}|BDFHJ_{t}</t>
  </si>
  <si>
    <t>BCDEFGHIJ_{t+1}|ABDEGHJ_{t}</t>
  </si>
  <si>
    <t>BCDEFGHI_{t+1}|ABCDEFGHIJ_{t}</t>
  </si>
  <si>
    <t>BCDEFGHI_{t+1}|ABCDEFGHI_{t}</t>
  </si>
  <si>
    <t>BCDEFGHI_{t+1}|BCDEFGHIJ_{t}</t>
  </si>
  <si>
    <t>BCDEFGHI_{t+1}|BCDEFGHI_{t}</t>
  </si>
  <si>
    <t>BCDEFGHI_{t+1}|ACEGI_{t}</t>
  </si>
  <si>
    <t>BCDEFGHI_{t+1}|BDFHJ_{t}</t>
  </si>
  <si>
    <t>BCDEFGHI_{t+1}|ABDEGHJ_{t}</t>
  </si>
  <si>
    <t>ACEGI_{t+1}|ABCDEFGHIJ_{t}</t>
  </si>
  <si>
    <t>ACEGI_{t+1}|ABCDEFGHI_{t}</t>
  </si>
  <si>
    <t>ACEGI_{t+1}|BCDEFGHIJ_{t}</t>
  </si>
  <si>
    <t>ACEGI_{t+1}|BCDEFGHI_{t}</t>
  </si>
  <si>
    <t>ACEGI_{t+1}|ACEGI_{t}</t>
  </si>
  <si>
    <t>ACEGI_{t+1}|BDFHJ_{t}</t>
  </si>
  <si>
    <t>ACEGI_{t+1}|ABDEGHJ_{t}</t>
  </si>
  <si>
    <t>BDFHJ_{t+1}|ABCDEFGHIJ_{t}</t>
  </si>
  <si>
    <t>BDFHJ_{t+1}|ABCDEFGHI_{t}</t>
  </si>
  <si>
    <t>BDFHJ_{t+1}|BCDEFGHIJ_{t}</t>
  </si>
  <si>
    <t>BDFHJ_{t+1}|BCDEFGHI_{t}</t>
  </si>
  <si>
    <t>BDFHJ_{t+1}|ACEGI_{t}</t>
  </si>
  <si>
    <t>BDFHJ_{t+1}|BDFHJ_{t}</t>
  </si>
  <si>
    <t>BDFHJ_{t+1}|ABDEGHJ_{t}</t>
  </si>
  <si>
    <t>ABDEGHJ_{t+1}|ABCDEFGHIJ_{t}</t>
  </si>
  <si>
    <t>ABDEGHJ_{t+1}|ABCDEFGHI_{t}</t>
  </si>
  <si>
    <t>ABDEGHJ_{t+1}|BCDEFGHIJ_{t}</t>
  </si>
  <si>
    <t>ABDEGHJ_{t+1}|BCDEFGHI_{t}</t>
  </si>
  <si>
    <t>ABDEGHJ_{t+1}|ACEGI_{t}</t>
  </si>
  <si>
    <t>ABDEGHJ_{t+1}|BDFHJ_{t}</t>
  </si>
  <si>
    <t>ABDEGHJ_{t+1}|ABDEGHJ_{t}</t>
  </si>
  <si>
    <t xml:space="preserve">⎛ I ⎞⎛  A,B,C,D,E,F,G,H,J  ⎞_x000D_
⎝ ∅ ⎠⎝ a,b,c,d,e,f,g,h,i,j ⎠_x000D_
</t>
  </si>
  <si>
    <t xml:space="preserve">⎛ G ⎞⎛ A,B,C,D,E,F,H,I,J ⎞_x000D_
⎝ ∅ ⎠⎝ a,b,c,d,e,f,g,h,i ⎠_x000D_
</t>
  </si>
  <si>
    <t xml:space="preserve">⎛ G ⎞⎛ A,B,C,D,E,F,H,I,J ⎞_x000D_
⎝ ∅ ⎠⎝ b,c,d,e,f,g,h,i,j ⎠_x000D_
</t>
  </si>
  <si>
    <t xml:space="preserve">⎛ B ⎞⎛ A,C,D,E,F,G,H,I,J ⎞_x000D_
⎝ ∅ ⎠⎝  b,c,d,e,f,g,h,i  ⎠_x000D_
</t>
  </si>
  <si>
    <t xml:space="preserve">⎛ E ⎞⎛ A,B,C,D,F,G,H,I,J ⎞_x000D_
⎝ ∅ ⎠⎝     a,c,e,g,i     ⎠_x000D_
</t>
  </si>
  <si>
    <t xml:space="preserve">⎛ I ⎞⎛ A,B,C,D,E,F,G,H,J ⎞_x000D_
⎝ ∅ ⎠⎝     b,d,f,h,j     ⎠_x000D_
</t>
  </si>
  <si>
    <t xml:space="preserve">⎛ J ⎞⎛ A,B,C,D,E,F,G,H,I ⎞_x000D_
⎝ ∅ ⎠⎝   a,b,d,e,g,h,j   ⎠_x000D_
</t>
  </si>
  <si>
    <t xml:space="preserve">⎛ I ⎞⎛   A,B,C,D,E,F,G,H   ⎞_x000D_
⎝ ∅ ⎠⎝ a,b,c,d,e,f,g,h,i,j ⎠_x000D_
</t>
  </si>
  <si>
    <t xml:space="preserve">⎛ G ⎞⎛  A,B,C,D,E,F,H,I  ⎞_x000D_
⎝ ∅ ⎠⎝ a,b,c,d,e,f,g,h,i ⎠_x000D_
</t>
  </si>
  <si>
    <t xml:space="preserve">⎛ G ⎞⎛  A,B,C,D,E,F,H,I  ⎞_x000D_
⎝ ∅ ⎠⎝ b,c,d,e,f,g,h,i,j ⎠_x000D_
</t>
  </si>
  <si>
    <t xml:space="preserve">⎛ B ⎞⎛ A,C,D,E,F,G,H,I ⎞_x000D_
⎝ ∅ ⎠⎝ b,c,d,e,f,g,h,i ⎠_x000D_
</t>
  </si>
  <si>
    <t xml:space="preserve">⎛ E ⎞⎛ A,B,C,D,F,G,H,I ⎞_x000D_
⎝ ∅ ⎠⎝    a,c,e,g,i    ⎠_x000D_
</t>
  </si>
  <si>
    <t xml:space="preserve">⎛ I ⎞⎛ A,B,C,D,E,F,G,H ⎞_x000D_
⎝ ∅ ⎠⎝    b,d,f,h,j    ⎠_x000D_
</t>
  </si>
  <si>
    <t xml:space="preserve">⎛ C ⎞⎛ A,B,D,E,F,G,H,I ⎞_x000D_
⎝ ∅ ⎠⎝  a,b,d,e,g,h,j  ⎠_x000D_
</t>
  </si>
  <si>
    <t xml:space="preserve">⎛ I ⎞⎛   B,C,D,E,F,G,H,J   ⎞_x000D_
⎝ ∅ ⎠⎝ a,b,c,d,e,f,g,h,i,j ⎠_x000D_
</t>
  </si>
  <si>
    <t xml:space="preserve">⎛ G ⎞⎛  B,C,D,E,F,H,I,J  ⎞_x000D_
⎝ ∅ ⎠⎝ a,b,c,d,e,f,g,h,i ⎠_x000D_
</t>
  </si>
  <si>
    <t xml:space="preserve">⎛ G ⎞⎛  B,C,D,E,F,H,I,J  ⎞_x000D_
⎝ ∅ ⎠⎝ b,c,d,e,f,g,h,i,j ⎠_x000D_
</t>
  </si>
  <si>
    <t xml:space="preserve">⎛ B ⎞⎛ C,D,E,F,G,H,I,J ⎞_x000D_
⎝ ∅ ⎠⎝ b,c,d,e,f,g,h,i ⎠_x000D_
</t>
  </si>
  <si>
    <t xml:space="preserve">⎛ E ⎞⎛ B,C,D,F,G,H,I,J ⎞_x000D_
⎝ ∅ ⎠⎝    a,c,e,g,i    ⎠_x000D_
</t>
  </si>
  <si>
    <t xml:space="preserve">⎛ I ⎞⎛ B,C,D,E,F,G,H,J ⎞_x000D_
⎝ ∅ ⎠⎝    b,d,f,h,j    ⎠_x000D_
</t>
  </si>
  <si>
    <t xml:space="preserve">⎛ J ⎞⎛ B,C,D,E,F,G,H,I ⎞_x000D_
⎝ ∅ ⎠⎝  a,b,d,e,g,h,j  ⎠_x000D_
</t>
  </si>
  <si>
    <t xml:space="preserve">⎛ I ⎞⎛    B,C,D,E,F,G,H    ⎞_x000D_
⎝ ∅ ⎠⎝ a,b,c,d,e,f,g,h,i,j ⎠_x000D_
</t>
  </si>
  <si>
    <t xml:space="preserve">⎛ G ⎞⎛   B,C,D,E,F,H,I   ⎞_x000D_
⎝ ∅ ⎠⎝ a,b,c,d,e,f,g,h,i ⎠_x000D_
</t>
  </si>
  <si>
    <t xml:space="preserve">⎛ G ⎞⎛   B,C,D,E,F,H,I   ⎞_x000D_
⎝ ∅ ⎠⎝ b,c,d,e,f,g,h,i,j ⎠_x000D_
</t>
  </si>
  <si>
    <t xml:space="preserve">⎛ B ⎞⎛  C,D,E,F,G,H,I  ⎞_x000D_
⎝ ∅ ⎠⎝ b,c,d,e,f,g,h,i ⎠_x000D_
</t>
  </si>
  <si>
    <t xml:space="preserve">⎛ E ⎞⎛ B,C,D,F,G,H,I ⎞_x000D_
⎝ ∅ ⎠⎝   a,c,e,g,i   ⎠_x000D_
</t>
  </si>
  <si>
    <t xml:space="preserve">⎛ I ⎞⎛ B,C,D,E,F,G,H ⎞_x000D_
⎝ ∅ ⎠⎝   b,d,f,h,j   ⎠_x000D_
</t>
  </si>
  <si>
    <t xml:space="preserve">⎛ C ⎞⎛ B,D,E,F,G,H,I ⎞_x000D_
⎝ ∅ ⎠⎝ a,b,d,e,g,h,j ⎠_x000D_
</t>
  </si>
  <si>
    <t xml:space="preserve">⎛ I ⎞⎛       A,C,E,G       ⎞_x000D_
⎝ ∅ ⎠⎝ a,b,c,d,e,f,g,h,i,j ⎠_x000D_
</t>
  </si>
  <si>
    <t xml:space="preserve">⎛ G ⎞⎛      A,C,E,I      ⎞_x000D_
⎝ ∅ ⎠⎝ a,b,c,d,e,f,g,h,i ⎠_x000D_
</t>
  </si>
  <si>
    <t xml:space="preserve">⎛ G ⎞⎛      A,C,E,I      ⎞_x000D_
⎝ ∅ ⎠⎝ b,c,d,e,f,g,h,i,j ⎠_x000D_
</t>
  </si>
  <si>
    <t xml:space="preserve">⎛ A ⎞⎛     C,E,G,I     ⎞_x000D_
⎝ ∅ ⎠⎝ b,c,d,e,f,g,h,i ⎠_x000D_
</t>
  </si>
  <si>
    <t xml:space="preserve">⎛ E ⎞⎛  A,C,G,I  ⎞_x000D_
⎝ ∅ ⎠⎝ a,c,e,g,i ⎠_x000D_
</t>
  </si>
  <si>
    <t xml:space="preserve">⎛ I ⎞⎛  A,C,E,G  ⎞_x000D_
⎝ ∅ ⎠⎝ b,d,f,h,j ⎠_x000D_
</t>
  </si>
  <si>
    <t xml:space="preserve">⎛ C ⎞⎛    A,E,G,I    ⎞_x000D_
⎝ ∅ ⎠⎝ a,b,d,e,g,h,j ⎠_x000D_
</t>
  </si>
  <si>
    <t xml:space="preserve">⎛ H ⎞⎛      B,D,F,J      ⎞_x000D_
⎝ i ⎠⎝ a,b,c,d,e,f,g,h,j ⎠_x000D_
</t>
  </si>
  <si>
    <t xml:space="preserve">⎛ J ⎞⎛      B,D,F,H      ⎞_x000D_
⎝ ∅ ⎠⎝ a,b,c,d,e,f,g,h,i ⎠_x000D_
</t>
  </si>
  <si>
    <t xml:space="preserve">⎛ F ⎞⎛      B,D,H,J      ⎞_x000D_
⎝ ∅ ⎠⎝ b,c,d,e,f,g,h,i,j ⎠_x000D_
</t>
  </si>
  <si>
    <t xml:space="preserve">⎛ B ⎞⎛     D,F,H,J     ⎞_x000D_
⎝ ∅ ⎠⎝ b,c,d,e,f,g,h,i ⎠_x000D_
</t>
  </si>
  <si>
    <t xml:space="preserve">⎛ F ⎞⎛  B,D,H,J  ⎞_x000D_
⎝ ∅ ⎠⎝ a,c,e,g,i ⎠_x000D_
</t>
  </si>
  <si>
    <t xml:space="preserve">⎛ F ⎞⎛  B,D,H,J  ⎞_x000D_
⎝ ∅ ⎠⎝ b,d,f,h,j ⎠_x000D_
</t>
  </si>
  <si>
    <t xml:space="preserve">⎛ J ⎞⎛    B,D,F,H    ⎞_x000D_
⎝ ∅ ⎠⎝ a,b,d,e,g,h,j ⎠_x000D_
</t>
  </si>
  <si>
    <t xml:space="preserve">⎛ A ⎞⎛     B,D,E,G,H,J     ⎞_x000D_
⎝ ∅ ⎠⎝ a,b,c,d,e,f,g,h,i,j ⎠_x000D_
</t>
  </si>
  <si>
    <t xml:space="preserve">⎛ G ⎞⎛    A,B,D,E,H,J    ⎞_x000D_
⎝ ∅ ⎠⎝ a,b,c,d,e,f,g,h,i ⎠_x000D_
</t>
  </si>
  <si>
    <t xml:space="preserve">⎛ G ⎞⎛    A,B,D,E,H,J    ⎞_x000D_
⎝ ∅ ⎠⎝ b,c,d,e,f,g,h,i,j ⎠_x000D_
</t>
  </si>
  <si>
    <t xml:space="preserve">⎛ B ⎞⎛   A,D,E,G,H,J   ⎞_x000D_
⎝ ∅ ⎠⎝ b,c,d,e,f,g,h,i ⎠_x000D_
</t>
  </si>
  <si>
    <t xml:space="preserve">⎛ E ⎞⎛ A,B,D,G,H,J ⎞_x000D_
⎝ ∅ ⎠⎝  a,c,e,g,i  ⎠_x000D_
</t>
  </si>
  <si>
    <t xml:space="preserve">⎛ A ⎞⎛ B,D,E,G,H,J ⎞_x000D_
⎝ ∅ ⎠⎝  b,d,f,h,j  ⎠_x000D_
</t>
  </si>
  <si>
    <t xml:space="preserve">⎛ J ⎞⎛  A,B,D,E,G,H  ⎞_x000D_
⎝ ∅ ⎠⎝ a,b,d,e,g,h,j ⎠_x000D_
</t>
  </si>
  <si>
    <t xml:space="preserve">⎛ J ⎞⎛       B,D,F,H       ⎞_x000D_
⎝ ∅ ⎠⎝ a,b,c,d,e,f,g,h,i,j ⎠_x000D_
</t>
  </si>
  <si>
    <t>ABCDEFGHIJKLMNO_{t+1}|ABDEGHIJKLNO_{t}</t>
  </si>
  <si>
    <t>ABCDEFGHIJKLMN_{t+1}|ABDEGHIJKLNO_{t}</t>
  </si>
  <si>
    <t>BCDEFGHIJKLMNO_{t+1}|ABDEGHIJKLNO_{t}</t>
  </si>
  <si>
    <t>BCDEFGHIJKLMN_{t+1}|ABDEGHIJKLNO_{t}</t>
  </si>
  <si>
    <t>ACEGIKMO_{t+1}|ABDEGHIJKLNO_{t}</t>
  </si>
  <si>
    <t>BDFHJLN_{t+1}|ABDEGHIJKLNO_{t}</t>
  </si>
  <si>
    <t>ABDEGHIJKLNO_{t+1}|ABCDEFGHIJKLMNO_{t}</t>
  </si>
  <si>
    <t>ABDEGHIJKLNO_{t+1}|ABCDEFGHIJKLMN_{t}</t>
  </si>
  <si>
    <t>ABDEGHIJKLNO_{t+1}|BCDEFGHIJKLMNO_{t}</t>
  </si>
  <si>
    <t>ABDEGHIJKLNO_{t+1}|BCDEFGHIJKLMN_{t}</t>
  </si>
  <si>
    <t>ABDEGHIJKLNO_{t+1}|ACEGIKMO_{t}</t>
  </si>
  <si>
    <t>ABDEGHIJKLNO_{t+1}|BDFHJLN_{t}</t>
  </si>
  <si>
    <t>ABDEGHIJKLNO_{t+1}|ABDEGHIJKLNO_{t}</t>
  </si>
  <si>
    <t xml:space="preserve">⎛ ∅ ⎞⎛ A,B,C,D,E,F,G,H,I,J,K,L,M,N,O ⎞_x000D_
⎝ a ⎠⎝  b,c,d,e,f,g,h,i,j,k,l,m,n,o  ⎠_x000D_
</t>
  </si>
  <si>
    <t xml:space="preserve">⎛ ∅ ⎞⎛ A,B,C,D,E,F,G,H,I,J,K,L,M,N,O ⎞_x000D_
⎝ o ⎠⎝   b,c,d,e,f,g,h,i,j,k,l,m,n   ⎠_x000D_
</t>
  </si>
  <si>
    <t xml:space="preserve">⎛ ∅ ⎞⎛ A,B,C,D,E,F,G,H,I,J,K,L,M,N ⎞_x000D_
⎝ a ⎠⎝ b,c,d,e,f,g,h,i,j,k,l,m,n,o ⎠_x000D_
</t>
  </si>
  <si>
    <t xml:space="preserve">⎛ ∅ ⎞⎛ A,B,C,D,E,F,G,H,I,J,K,L,M,N ⎞_x000D_
⎝ o ⎠⎝  b,c,d,e,f,g,h,i,j,k,l,m,n  ⎠_x000D_
</t>
  </si>
  <si>
    <t xml:space="preserve">⎛ ∅ ⎞⎛ B,C,D,E,F,G,H,I,J,K,L,M,N,O ⎞_x000D_
⎝ a ⎠⎝ b,c,d,e,f,g,h,i,j,k,l,m,n,o ⎠_x000D_
</t>
  </si>
  <si>
    <t xml:space="preserve">⎛ ∅ ⎞⎛ B,C,D,E,F,G,H,I,J,K,L,M,N,O ⎞_x000D_
⎝ o ⎠⎝  b,c,d,e,f,g,h,i,j,k,l,m,n  ⎠_x000D_
</t>
  </si>
  <si>
    <t xml:space="preserve">⎛ ∅ ⎞⎛  B,C,D,E,F,G,H,I,J,K,L,M,N  ⎞_x000D_
⎝ a ⎠⎝ b,c,d,e,f,g,h,i,j,k,l,m,n,o ⎠_x000D_
</t>
  </si>
  <si>
    <t xml:space="preserve">⎛ ∅ ⎞⎛ B,C,D,E,F,G,H,I,J,K,L,M,N ⎞_x000D_
⎝ o ⎠⎝ b,c,d,e,f,g,h,i,j,k,l,m,n ⎠_x000D_
</t>
  </si>
  <si>
    <t xml:space="preserve">⎛ ∅ ⎞⎛       A,C,E,G,I,K,M,O       ⎞_x000D_
⎝ a ⎠⎝ b,c,d,e,f,g,h,i,j,k,l,m,n,o ⎠_x000D_
</t>
  </si>
  <si>
    <t xml:space="preserve">⎛ ∅ ⎞⎛      A,C,E,G,I,K,M,O      ⎞_x000D_
⎝ o ⎠⎝ b,c,d,e,f,g,h,i,j,k,l,m,n ⎠_x000D_
</t>
  </si>
  <si>
    <t xml:space="preserve">⎛ ∅ ⎞⎛        B,D,F,H,J,L,N        ⎞_x000D_
⎝ a ⎠⎝ b,c,d,e,f,g,h,i,j,k,l,m,n,o ⎠_x000D_
</t>
  </si>
  <si>
    <t xml:space="preserve">⎛ ∅ ⎞⎛       B,D,F,H,J,L,N       ⎞_x000D_
⎝ o ⎠⎝ b,c,d,e,f,g,h,i,j,k,l,m,n ⎠_x000D_
</t>
  </si>
  <si>
    <t xml:space="preserve">⎛ N ⎞⎛  B,D,F,H,J,L  ⎞_x000D_
⎝ ∅ ⎠⎝ b,d,f,h,j,l,n ⎠_x000D_
</t>
  </si>
  <si>
    <t xml:space="preserve">⎛ ∅ ⎞⎛     A,B,D,E,G,H,J,K,M,N     ⎞_x000D_
⎝ a ⎠⎝ b,c,d,e,f,g,h,i,j,k,l,m,n,o ⎠_x000D_
</t>
  </si>
  <si>
    <t xml:space="preserve">⎛ ∅ ⎞⎛    A,B,D,E,G,H,J,K,M,N    ⎞_x000D_
⎝ o ⎠⎝ b,c,d,e,f,g,h,i,j,k,l,m,n ⎠_x000D_
</t>
  </si>
  <si>
    <t xml:space="preserve">⎛ E ⎞⎛ A,B,D,G,H,J,K,M,N ⎞_x000D_
⎝ ∅ ⎠⎝  a,c,e,g,i,k,m,o  ⎠_x000D_
</t>
  </si>
  <si>
    <t xml:space="preserve">⎛ N ⎞⎛  A,B,D,E,G,H,J,K,M  ⎞_x000D_
⎝ ∅ ⎠⎝ a,b,d,e,g,h,j,k,m,n ⎠_x000D_
</t>
  </si>
  <si>
    <t>ABCDEFGHIJKLMNOPQRST_{t+1}|ABDEGHIJKLMNOPST_{t}</t>
  </si>
  <si>
    <t>ABCDEFGHIJKLMNOPQRS_{t+1}|ABDEGHIJKLMNOPST_{t}</t>
  </si>
  <si>
    <t>BCDEFGHIJKLMNOPQRST_{t+1}|ABDEGHIJKLMNOPST_{t}</t>
  </si>
  <si>
    <t>BCDEFGHIJKLMNOPQRS_{t+1}|ABDEGHIJKLMNOPST_{t}</t>
  </si>
  <si>
    <t>ACEGIKMOQS_{t+1}|ABDEGHIJKLMNOPST_{t}</t>
  </si>
  <si>
    <t>BDFHJLNPRT_{t+1}|ABDEGHIJKLMNOPST_{t}</t>
  </si>
  <si>
    <t>ABDEGHIJKLMNOPST_{t+1}|ABCDEFGHIJKLMNOPQRST_{t}</t>
  </si>
  <si>
    <t>ABDEGHIJKLMNOPST_{t+1}|ABCDEFGHIJKLMNOPQRS_{t}</t>
  </si>
  <si>
    <t>ABDEGHIJKLMNOPST_{t+1}|BCDEFGHIJKLMNOPQRST_{t}</t>
  </si>
  <si>
    <t>ABDEGHIJKLMNOPST_{t+1}|BCDEFGHIJKLMNOPQRS_{t}</t>
  </si>
  <si>
    <t>ABDEGHIJKLMNOPST_{t+1}|ACEGIKMOQS_{t}</t>
  </si>
  <si>
    <t>ABDEGHIJKLMNOPST_{t+1}|BDFHJLNPRT_{t}</t>
  </si>
  <si>
    <t>ABDEGHIJKLMNOPST_{t+1}|ABDEGHIJKLMNOPST_{t}</t>
  </si>
  <si>
    <t xml:space="preserve">⎛ J ⎞⎛  A,B,C,D,E,F,G,H,I,K,L,M,N,O,P,Q,R,S,T  ⎞_x000D_
⎝ ∅ ⎠⎝ a,b,c,d,e,f,g,h,i,j,k,l,m,n,o,p,q,r,s,t ⎠_x000D_
</t>
  </si>
  <si>
    <t xml:space="preserve">⎛ L ⎞⎛ A,B,C,D,E,F,G,H,I,J,K,M,N,O,P,Q,R,S,T ⎞_x000D_
⎝ ∅ ⎠⎝ b,c,d,e,f,g,h,i,j,k,l,m,n,o,p,q,r,s,t ⎠_x000D_
</t>
  </si>
  <si>
    <t xml:space="preserve">⎛ M ⎞⎛ A,B,C,D,E,F,G,H,I,J,K,L,N,O,P,Q,R,S,T ⎞_x000D_
⎝ ∅ ⎠⎝  b,c,d,e,f,g,h,i,j,k,l,m,n,o,p,q,r,s  ⎠_x000D_
</t>
  </si>
  <si>
    <t xml:space="preserve">⎛ G ⎞⎛ A,B,C,D,E,F,H,I,J,K,L,M,N,O,P,Q,R,S,T ⎞_x000D_
⎝ ∅ ⎠⎝          a,c,e,g,i,k,m,o,q,s          ⎠_x000D_
</t>
  </si>
  <si>
    <t xml:space="preserve">⎛ R ⎞⎛ A,B,C,D,E,F,G,H,I,J,K,L,M,N,O,P,Q,S,T ⎞_x000D_
⎝ ∅ ⎠⎝          b,d,f,h,j,l,n,p,r,t          ⎠_x000D_
</t>
  </si>
  <si>
    <t xml:space="preserve">⎛ R ⎞⎛ A,B,C,D,E,F,G,H,I,J,K,L,M,N,O,P,Q,S,T ⎞_x000D_
⎝ ∅ ⎠⎝      a,b,d,e,g,h,j,k,m,n,p,q,s,t      ⎠_x000D_
</t>
  </si>
  <si>
    <t>Proyecto Paralelo MP</t>
  </si>
  <si>
    <t>Perdida MP</t>
  </si>
  <si>
    <t>Tiempo MP</t>
  </si>
  <si>
    <t>% Perdida MP</t>
  </si>
  <si>
    <t>SpeedUp MP (X)</t>
  </si>
  <si>
    <t xml:space="preserve">⎛ B ⎞⎛ A,C,D,E,F,G,H,I,J,K,L,M,N,O,P,Q,R,S,T ⎞_x000D_
⎝ ∅ ⎠⎝ a,b,c,d,e,f,g,h,i,j,k,l,m,n,o,p,q,r,s ⎠_x000D_
</t>
  </si>
  <si>
    <t xml:space="preserve">⎛ J ⎞⎛   A,B,C,D,E,F,G,H,I,K,L,M,N,O,P,Q,R,S   ⎞_x000D_
⎝ ∅ ⎠⎝ a,b,c,d,e,f,g,h,i,j,k,l,m,n,o,p,q,r,s,t ⎠_x000D_
</t>
  </si>
  <si>
    <t xml:space="preserve">⎛ B ⎞⎛  A,C,D,E,F,G,H,I,J,K,L,M,N,O,P,Q,R,S  ⎞_x000D_
⎝ ∅ ⎠⎝ a,b,c,d,e,f,g,h,i,j,k,l,m,n,o,p,q,r,s ⎠_x000D_
</t>
  </si>
  <si>
    <t xml:space="preserve">⎛ L ⎞⎛  A,B,C,D,E,F,G,H,I,J,K,M,N,O,P,Q,R,S  ⎞_x000D_
⎝ ∅ ⎠⎝ b,c,d,e,f,g,h,i,j,k,l,m,n,o,p,q,r,s,t ⎠_x000D_
</t>
  </si>
  <si>
    <t xml:space="preserve">⎛ M ⎞⎛ A,B,C,D,E,F,G,H,I,J,K,L,N,O,P,Q,R,S ⎞_x000D_
⎝ ∅ ⎠⎝ b,c,d,e,f,g,h,i,j,k,l,m,n,o,p,q,r,s ⎠_x000D_
</t>
  </si>
  <si>
    <t xml:space="preserve">⎛ G ⎞⎛ A,B,C,D,E,F,H,I,J,K,L,M,N,O,P,Q,R,S ⎞_x000D_
⎝ ∅ ⎠⎝         a,c,e,g,i,k,m,o,q,s         ⎠_x000D_
</t>
  </si>
  <si>
    <t xml:space="preserve">⎛ R ⎞⎛ A,B,C,D,E,F,G,H,I,J,K,L,M,N,O,P,Q,S ⎞_x000D_
⎝ ∅ ⎠⎝         b,d,f,h,j,l,n,p,r,t         ⎠_x000D_
</t>
  </si>
  <si>
    <t xml:space="preserve">⎛ R ⎞⎛ A,B,C,D,E,F,G,H,I,J,K,L,M,N,O,P,Q,S ⎞_x000D_
⎝ ∅ ⎠⎝     a,b,d,e,g,h,j,k,m,n,p,q,s,t     ⎠_x000D_
</t>
  </si>
  <si>
    <t xml:space="preserve">⎛ J ⎞⎛   B,C,D,E,F,G,H,I,K,L,M,N,O,P,Q,R,S,T   ⎞_x000D_
⎝ ∅ ⎠⎝ a,b,c,d,e,f,g,h,i,j,k,l,m,n,o,p,q,r,s,t ⎠_x000D_
</t>
  </si>
  <si>
    <t xml:space="preserve">⎛ M ⎞⎛  B,C,D,E,F,G,H,I,J,K,L,N,O,P,Q,R,S,T  ⎞_x000D_
⎝ ∅ ⎠⎝ a,b,c,d,e,f,g,h,i,j,k,l,m,n,o,p,q,r,s ⎠_x000D_
</t>
  </si>
  <si>
    <t xml:space="preserve">⎛ L ⎞⎛  B,C,D,E,F,G,H,I,J,K,M,N,O,P,Q,R,S,T  ⎞_x000D_
⎝ ∅ ⎠⎝ b,c,d,e,f,g,h,i,j,k,l,m,n,o,p,q,r,s,t ⎠_x000D_
</t>
  </si>
  <si>
    <t xml:space="preserve">⎛ M ⎞⎛ B,C,D,E,F,G,H,I,J,K,L,N,O,P,Q,R,S,T ⎞_x000D_
⎝ ∅ ⎠⎝ b,c,d,e,f,g,h,i,j,k,l,m,n,o,p,q,r,s ⎠_x000D_
</t>
  </si>
  <si>
    <t xml:space="preserve">⎛ G ⎞⎛ B,C,D,E,F,H,I,J,K,L,M,N,O,P,Q,R,S,T ⎞_x000D_
⎝ ∅ ⎠⎝         a,c,e,g,i,k,m,o,q,s         ⎠_x000D_
</t>
  </si>
  <si>
    <t xml:space="preserve">⎛ R ⎞⎛ B,C,D,E,F,G,H,I,J,K,L,M,N,O,P,Q,S,T ⎞_x000D_
⎝ ∅ ⎠⎝         b,d,f,h,j,l,n,p,r,t         ⎠_x000D_
</t>
  </si>
  <si>
    <t xml:space="preserve">⎛ R ⎞⎛ B,C,D,E,F,G,H,I,J,K,L,M,N,O,P,Q,S,T ⎞_x000D_
⎝ ∅ ⎠⎝     a,b,d,e,g,h,j,k,m,n,p,q,s,t     ⎠_x000D_
</t>
  </si>
  <si>
    <t xml:space="preserve">⎛ J ⎞⎛    B,C,D,E,F,G,H,I,K,L,M,N,O,P,Q,R,S    ⎞_x000D_
⎝ ∅ ⎠⎝ a,b,c,d,e,f,g,h,i,j,k,l,m,n,o,p,q,r,s,t ⎠_x000D_
</t>
  </si>
  <si>
    <t xml:space="preserve">⎛ M ⎞⎛   B,C,D,E,F,G,H,I,J,K,L,N,O,P,Q,R,S   ⎞_x000D_
⎝ ∅ ⎠⎝ a,b,c,d,e,f,g,h,i,j,k,l,m,n,o,p,q,r,s ⎠_x000D_
</t>
  </si>
  <si>
    <t xml:space="preserve">⎛ L ⎞⎛   B,C,D,E,F,G,H,I,J,K,M,N,O,P,Q,R,S   ⎞_x000D_
⎝ ∅ ⎠⎝ b,c,d,e,f,g,h,i,j,k,l,m,n,o,p,q,r,s,t ⎠_x000D_
</t>
  </si>
  <si>
    <t xml:space="preserve">⎛ M ⎞⎛  B,C,D,E,F,G,H,I,J,K,L,N,O,P,Q,R,S  ⎞_x000D_
⎝ ∅ ⎠⎝ b,c,d,e,f,g,h,i,j,k,l,m,n,o,p,q,r,s ⎠_x000D_
</t>
  </si>
  <si>
    <t xml:space="preserve">⎛ G ⎞⎛ B,C,D,E,F,H,I,J,K,L,M,N,O,P,Q,R,S ⎞_x000D_
⎝ ∅ ⎠⎝        a,c,e,g,i,k,m,o,q,s        ⎠_x000D_
</t>
  </si>
  <si>
    <t xml:space="preserve">⎛ R ⎞⎛ B,C,D,E,F,G,H,I,J,K,L,M,N,O,P,Q,S ⎞_x000D_
⎝ ∅ ⎠⎝        b,d,f,h,j,l,n,p,r,t        ⎠_x000D_
</t>
  </si>
  <si>
    <t xml:space="preserve">⎛ R ⎞⎛ B,C,D,E,F,G,H,I,J,K,L,M,N,O,P,Q,S ⎞_x000D_
⎝ ∅ ⎠⎝    a,b,d,e,g,h,j,k,m,n,p,q,s,t    ⎠_x000D_
</t>
  </si>
  <si>
    <t xml:space="preserve">⎛ M ⎞⎛ A,B,C,D,E,F,G,H,I,J,K,L,N,O,P,Q,R,S,T ⎞_x000D_
⎝ ∅ ⎠⎝ a,b,c,d,e,f,g,h,i,j,k,l,m,n,o,p,q,r,s ⎠_x000D_
</t>
  </si>
  <si>
    <t xml:space="preserve">⎛ M ⎞⎛  A,B,C,D,E,F,G,H,I,J,K,L,N,O,P,Q,R,S  ⎞_x000D_
⎝ ∅ ⎠⎝ a,b,c,d,e,f,g,h,i,j,k,l,m,n,o,p,q,r,s ⎠_x000D_
</t>
  </si>
  <si>
    <t xml:space="preserve">⎛ K ⎞⎛            A,C,E,G,I,M,O,Q,S            ⎞_x000D_
⎝ ∅ ⎠⎝ a,b,c,d,e,f,g,h,i,j,k,l,m,n,o,p,q,r,s,t ⎠_x000D_
</t>
  </si>
  <si>
    <t xml:space="preserve">⎛ M ⎞⎛           A,C,E,G,I,K,O,Q,S           ⎞_x000D_
⎝ ∅ ⎠⎝ a,b,c,d,e,f,g,h,i,j,k,l,m,n,o,p,q,r,s ⎠_x000D_
</t>
  </si>
  <si>
    <t xml:space="preserve">⎛ O ⎞⎛           A,C,E,G,I,K,M,Q,S           ⎞_x000D_
⎝ ∅ ⎠⎝ b,c,d,e,f,g,h,i,j,k,l,m,n,o,p,q,r,s,t ⎠_x000D_
</t>
  </si>
  <si>
    <t xml:space="preserve">⎛ M ⎞⎛          A,C,E,G,I,K,O,Q,S          ⎞_x000D_
⎝ ∅ ⎠⎝ b,c,d,e,f,g,h,i,j,k,l,m,n,o,p,q,r,s ⎠_x000D_
</t>
  </si>
  <si>
    <t xml:space="preserve">⎛ G ⎞⎛  A,C,E,I,K,M,O,Q,S  ⎞_x000D_
⎝ ∅ ⎠⎝ a,c,e,g,i,k,m,o,q,s ⎠_x000D_
</t>
  </si>
  <si>
    <t xml:space="preserve">⎛ Q ⎞⎛  A,C,E,G,I,K,M,O,S  ⎞_x000D_
⎝ ∅ ⎠⎝ b,d,f,h,j,l,n,p,r,t ⎠_x000D_
</t>
  </si>
  <si>
    <t xml:space="preserve">⎛ Q ⎞⎛      A,C,E,G,I,K,M,O,S      ⎞_x000D_
⎝ ∅ ⎠⎝ a,b,d,e,g,h,j,k,m,n,p,q,s,t ⎠_x000D_
</t>
  </si>
  <si>
    <t xml:space="preserve">⎛ J ⎞⎛            B,D,F,H,L,N,P,R,T            ⎞_x000D_
⎝ ∅ ⎠⎝ a,b,c,d,e,f,g,h,i,j,k,l,m,n,o,p,q,r,s,t ⎠_x000D_
</t>
  </si>
  <si>
    <t xml:space="preserve">⎛ B ⎞⎛           D,F,H,J,L,N,P,R,T           ⎞_x000D_
⎝ ∅ ⎠⎝ a,b,c,d,e,f,g,h,i,j,k,l,m,n,o,p,q,r,s ⎠_x000D_
</t>
  </si>
  <si>
    <t xml:space="preserve">⎛ L ⎞⎛           B,D,F,H,J,N,P,R,T           ⎞_x000D_
⎝ ∅ ⎠⎝ b,c,d,e,f,g,h,i,j,k,l,m,n,o,p,q,r,s,t ⎠_x000D_
</t>
  </si>
  <si>
    <t xml:space="preserve">⎛ B ⎞⎛          D,F,H,J,L,N,P,R,T          ⎞_x000D_
⎝ ∅ ⎠⎝ b,c,d,e,f,g,h,i,j,k,l,m,n,o,p,q,r,s ⎠_x000D_
</t>
  </si>
  <si>
    <t xml:space="preserve">⎛ R ⎞⎛  B,D,F,H,J,L,N,P,T  ⎞_x000D_
⎝ ∅ ⎠⎝ a,c,e,g,i,k,m,o,q,s ⎠_x000D_
</t>
  </si>
  <si>
    <t xml:space="preserve">⎛ R ⎞⎛  B,D,F,H,J,L,N,P,T  ⎞_x000D_
⎝ ∅ ⎠⎝ b,d,f,h,j,l,n,p,r,t ⎠_x000D_
</t>
  </si>
  <si>
    <t xml:space="preserve">⎛ R ⎞⎛      B,D,F,H,J,L,N,P,T      ⎞_x000D_
⎝ ∅ ⎠⎝ a,b,d,e,g,h,j,k,m,n,p,q,s,t ⎠_x000D_
</t>
  </si>
  <si>
    <t xml:space="preserve">⎛ J ⎞⎛        A,B,D,E,G,H,K,M,N,P,Q,S,T        ⎞_x000D_
⎝ ∅ ⎠⎝ a,b,c,d,e,f,g,h,i,j,k,l,m,n,o,p,q,r,s,t ⎠_x000D_
</t>
  </si>
  <si>
    <t xml:space="preserve">⎛ M ⎞⎛       A,B,D,E,G,H,J,K,N,P,Q,S,T       ⎞_x000D_
⎝ ∅ ⎠⎝ a,b,c,d,e,f,g,h,i,j,k,l,m,n,o,p,q,r,s ⎠_x000D_
</t>
  </si>
  <si>
    <t xml:space="preserve">⎛ E ⎞⎛       A,B,D,G,H,J,K,M,N,P,Q,S,T       ⎞_x000D_
⎝ ∅ ⎠⎝ b,c,d,e,f,g,h,i,j,k,l,m,n,o,p,q,r,s,t ⎠_x000D_
</t>
  </si>
  <si>
    <t xml:space="preserve">⎛ M ⎞⎛      A,B,D,E,G,H,J,K,N,P,Q,S,T      ⎞_x000D_
⎝ ∅ ⎠⎝ b,c,d,e,f,g,h,i,j,k,l,m,n,o,p,q,r,s ⎠_x000D_
</t>
  </si>
  <si>
    <t xml:space="preserve">⎛ G ⎞⎛ A,B,D,E,H,J,K,M,N,P,Q,S,T ⎞_x000D_
⎝ ∅ ⎠⎝    a,c,e,g,i,k,m,o,q,s    ⎠_x000D_
</t>
  </si>
  <si>
    <t xml:space="preserve">⎛ Q ⎞⎛ A,B,D,E,G,H,J,K,M,N,P,S,T ⎞_x000D_
⎝ ∅ ⎠⎝    b,d,f,h,j,l,n,p,r,t    ⎠_x000D_
</t>
  </si>
  <si>
    <t xml:space="preserve">⎛ Q ⎞⎛  A,B,D,E,G,H,J,K,M,N,P,S,T  ⎞_x000D_
⎝ ∅ ⎠⎝ a,b,d,e,g,h,j,k,m,n,p,q,s,t ⎠_x000D_
</t>
  </si>
  <si>
    <t>Proyecto Paralelo CUDA</t>
  </si>
  <si>
    <t>Perdida CUDA</t>
  </si>
  <si>
    <t>Tiempo CUDA</t>
  </si>
  <si>
    <t>% Perdida CUDA</t>
  </si>
  <si>
    <t>SpeedUp CUDA (X)</t>
  </si>
  <si>
    <t xml:space="preserve">⎛ A ⎞⎛   C,E   ⎞_x000D_
⎝ ∅ ⎠⎝ a,b,d,e ⎠_x000D_
</t>
  </si>
  <si>
    <t xml:space="preserve">⎛ H ⎞⎛ A,B,C,D,E,F,G,I,J,K,L,M,N,O ⎞_x000D_
⎝ ∅ ⎠⎝ a,b,c,d,e,f,g,h,i,j,k,l,m,n ⎠_x000D_
</t>
  </si>
  <si>
    <t xml:space="preserve">⎛ H ⎞⎛ A,B,C,D,E,F,G,I,J,K,L,M,N,O ⎞_x000D_
⎝ ∅ ⎠⎝  b,c,d,e,f,g,h,i,j,k,l,m,n  ⎠_x000D_
</t>
  </si>
  <si>
    <t xml:space="preserve">⎛ L ⎞⎛ A,B,C,D,E,F,G,H,I,J,K,M,N,O ⎞_x000D_
⎝ ∅ ⎠⎝       a,c,e,g,i,k,m,o       ⎠_x000D_
</t>
  </si>
  <si>
    <t xml:space="preserve">⎛ G ⎞⎛ A,B,C,D,E,F,H,I,J,K,L,M,N,O ⎞_x000D_
⎝ ∅ ⎠⎝        b,d,f,h,j,l,n        ⎠_x000D_
</t>
  </si>
  <si>
    <t xml:space="preserve">⎛ O ⎞⎛ A,B,C,D,E,F,G,H,I,J,K,L,M,N ⎞_x000D_
⎝ ∅ ⎠⎝     a,b,d,e,g,h,j,k,m,n     ⎠_x000D_
</t>
  </si>
  <si>
    <t xml:space="preserve">⎛ H ⎞⎛  A,B,C,D,E,F,G,I,J,K,L,M,N  ⎞_x000D_
⎝ ∅ ⎠⎝ a,b,c,d,e,f,g,h,i,j,k,l,m,n ⎠_x000D_
</t>
  </si>
  <si>
    <t xml:space="preserve">⎛ H ⎞⎛ A,B,C,D,E,F,G,I,J,K,L,M,N ⎞_x000D_
⎝ ∅ ⎠⎝ b,c,d,e,f,g,h,i,j,k,l,m,n ⎠_x000D_
</t>
  </si>
  <si>
    <t xml:space="preserve">⎛ L ⎞⎛ A,B,C,D,E,F,G,H,I,J,K,M,N ⎞_x000D_
⎝ ∅ ⎠⎝      a,c,e,g,i,k,m,o      ⎠_x000D_
</t>
  </si>
  <si>
    <t xml:space="preserve">⎛ G ⎞⎛ A,B,C,D,E,F,H,I,J,K,L,M,N ⎞_x000D_
⎝ ∅ ⎠⎝       b,d,f,h,j,l,n       ⎠_x000D_
</t>
  </si>
  <si>
    <t xml:space="preserve">⎛ N ⎞⎛ A,B,C,D,E,F,G,H,I,J,K,L,M ⎞_x000D_
⎝ ∅ ⎠⎝    a,b,d,e,g,h,j,k,m,n    ⎠_x000D_
</t>
  </si>
  <si>
    <t xml:space="preserve">⎛ H ⎞⎛  B,C,D,E,F,G,I,J,K,L,M,N,O  ⎞_x000D_
⎝ ∅ ⎠⎝ a,b,c,d,e,f,g,h,i,j,k,l,m,n ⎠_x000D_
</t>
  </si>
  <si>
    <t xml:space="preserve">⎛ H ⎞⎛ B,C,D,E,F,G,I,J,K,L,M,N,O ⎞_x000D_
⎝ ∅ ⎠⎝ b,c,d,e,f,g,h,i,j,k,l,m,n ⎠_x000D_
</t>
  </si>
  <si>
    <t xml:space="preserve">⎛ L ⎞⎛ B,C,D,E,F,G,H,I,J,K,M,N,O ⎞_x000D_
⎝ ∅ ⎠⎝      a,c,e,g,i,k,m,o      ⎠_x000D_
</t>
  </si>
  <si>
    <t xml:space="preserve">⎛ G ⎞⎛ B,C,D,E,F,H,I,J,K,L,M,N,O ⎞_x000D_
⎝ ∅ ⎠⎝       b,d,f,h,j,l,n       ⎠_x000D_
</t>
  </si>
  <si>
    <t xml:space="preserve">⎛ O ⎞⎛ B,C,D,E,F,G,H,I,J,K,L,M,N ⎞_x000D_
⎝ ∅ ⎠⎝    a,b,d,e,g,h,j,k,m,n    ⎠_x000D_
</t>
  </si>
  <si>
    <t xml:space="preserve">⎛ H ⎞⎛   B,C,D,E,F,G,I,J,K,L,M,N   ⎞_x000D_
⎝ ∅ ⎠⎝ a,b,c,d,e,f,g,h,i,j,k,l,m,n ⎠_x000D_
</t>
  </si>
  <si>
    <t xml:space="preserve">⎛ H ⎞⎛  B,C,D,E,F,G,I,J,K,L,M,N  ⎞_x000D_
⎝ ∅ ⎠⎝ b,c,d,e,f,g,h,i,j,k,l,m,n ⎠_x000D_
</t>
  </si>
  <si>
    <t xml:space="preserve">⎛ L ⎞⎛ B,C,D,E,F,G,H,I,J,K,M,N ⎞_x000D_
⎝ ∅ ⎠⎝     a,c,e,g,i,k,m,o     ⎠_x000D_
</t>
  </si>
  <si>
    <t xml:space="preserve">⎛ G ⎞⎛ B,C,D,E,F,H,I,J,K,L,M,N ⎞_x000D_
⎝ ∅ ⎠⎝      b,d,f,h,j,l,n      ⎠_x000D_
</t>
  </si>
  <si>
    <t xml:space="preserve">⎛ N ⎞⎛ B,C,D,E,F,G,H,I,J,K,L,M ⎞_x000D_
⎝ ∅ ⎠⎝   a,b,d,e,g,h,j,k,m,n   ⎠_x000D_
</t>
  </si>
  <si>
    <t xml:space="preserve">⎛ G ⎞⎛        A,C,E,I,K,M,O        ⎞_x000D_
⎝ ∅ ⎠⎝ a,b,c,d,e,f,g,h,i,j,k,l,m,n ⎠_x000D_
</t>
  </si>
  <si>
    <t xml:space="preserve">⎛ G ⎞⎛       A,C,E,I,K,M,O       ⎞_x000D_
⎝ ∅ ⎠⎝ b,c,d,e,f,g,h,i,j,k,l,m,n ⎠_x000D_
</t>
  </si>
  <si>
    <t xml:space="preserve">⎛ E ⎞⎛  A,C,G,I,K,M,O  ⎞_x000D_
⎝ ∅ ⎠⎝ a,c,e,g,i,k,m,o ⎠_x000D_
</t>
  </si>
  <si>
    <t xml:space="preserve">⎛ G ⎞⎛ A,C,E,I,K,M,O ⎞_x000D_
⎝ ∅ ⎠⎝ b,d,f,h,j,l,n ⎠_x000D_
</t>
  </si>
  <si>
    <t xml:space="preserve">⎛ O ⎞⎛    A,C,E,G,I,K,M    ⎞_x000D_
⎝ ∅ ⎠⎝ a,b,d,e,g,h,j,k,m,n ⎠_x000D_
</t>
  </si>
  <si>
    <t xml:space="preserve">⎛ H ⎞⎛         B,D,F,J,L,N         ⎞_x000D_
⎝ ∅ ⎠⎝ a,b,c,d,e,f,g,h,i,j,k,l,m,n ⎠_x000D_
</t>
  </si>
  <si>
    <t xml:space="preserve">⎛ H ⎞⎛        B,D,F,J,L,N        ⎞_x000D_
⎝ ∅ ⎠⎝ b,c,d,e,f,g,h,i,j,k,l,m,n ⎠_x000D_
</t>
  </si>
  <si>
    <t xml:space="preserve">⎛ L ⎞⎛   B,D,F,H,J,N   ⎞_x000D_
⎝ ∅ ⎠⎝ a,c,e,g,i,k,m,o ⎠_x000D_
</t>
  </si>
  <si>
    <t xml:space="preserve">⎛ N ⎞⎛     B,D,F,H,J,L     ⎞_x000D_
⎝ ∅ ⎠⎝ a,b,d,e,g,h,j,k,m,n ⎠_x000D_
</t>
  </si>
  <si>
    <t xml:space="preserve">⎛ H ⎞⎛      A,B,D,E,G,J,K,M,N      ⎞_x000D_
⎝ ∅ ⎠⎝ a,b,c,d,e,f,g,h,i,j,k,l,m,n ⎠_x000D_
</t>
  </si>
  <si>
    <t xml:space="preserve">⎛ H ⎞⎛     A,B,D,E,G,J,K,M,N     ⎞_x000D_
⎝ ∅ ⎠⎝ b,c,d,e,f,g,h,i,j,k,l,m,n ⎠_x000D_
</t>
  </si>
  <si>
    <t xml:space="preserve">⎛ G ⎞⎛ A,B,D,E,H,J,K,M,N ⎞_x000D_
⎝ ∅ ⎠⎝   b,d,f,h,j,l,n   ⎠_x000D_
</t>
  </si>
  <si>
    <t>Tamaño</t>
  </si>
  <si>
    <t>GEOMETRIC</t>
  </si>
  <si>
    <t>PROM</t>
  </si>
  <si>
    <t>MAX</t>
  </si>
  <si>
    <t>GEOMETRIC + Multiprocessing</t>
  </si>
  <si>
    <t>GEOMETRIC + Multiprocessing + CUDA</t>
  </si>
  <si>
    <t>MIN</t>
  </si>
  <si>
    <t>Promedio</t>
  </si>
  <si>
    <t>PROMEDIO SPEEDUP</t>
  </si>
  <si>
    <t xml:space="preserve">⎛ R ⎞⎛  A,B,C,D,E,F,G,H,I,J,K,L,M,N,O,P,Q,S,T,U  ⎞_x000D_
⎝ ∅ ⎠⎝ a,b,c,d,e,f,g,h,i,j,k,l,m,n,o,p,q,r,s,t,u ⎠_x000D_
</t>
  </si>
  <si>
    <t xml:space="preserve">⎛ O ⎞⎛ A,B,C,D,E,F,G,H,I,J,K,L,M,N,P,Q,R,S,T,U ⎞_x000D_
⎝ ∅ ⎠⎝ a,b,c,d,e,f,g,h,i,j,k,l,m,n,o,p,q,r,s,t ⎠_x000D_
</t>
  </si>
  <si>
    <t xml:space="preserve">⎛ O ⎞⎛ A,B,C,D,E,F,G,H,I,J,K,L,M,N,P,Q,R,S,T,U ⎞_x000D_
⎝ ∅ ⎠⎝ b,c,d,e,f,g,h,i,j,k,l,m,n,o,p,q,r,s,t,u ⎠_x000D_
</t>
  </si>
  <si>
    <t xml:space="preserve">⎛ O ⎞⎛ A,B,C,D,E,F,G,H,I,J,K,L,M,N,P,Q,R,S,T,U ⎞_x000D_
⎝ ∅ ⎠⎝  b,c,d,e,f,g,h,i,j,k,l,m,n,o,p,q,r,s,t  ⎠_x000D_
</t>
  </si>
  <si>
    <t xml:space="preserve">⎛ T ⎞⎛ A,B,C,D,E,F,G,H,I,J,K,L,M,N,O,P,Q,R,S,U ⎞_x000D_
⎝ ∅ ⎠⎝          a,c,e,g,i,k,m,o,q,s,u          ⎠_x000D_
</t>
  </si>
  <si>
    <t xml:space="preserve">⎛ P ⎞⎛ A,B,C,D,E,F,G,H,I,J,K,L,M,N,O,Q,R,S,T,U ⎞_x000D_
⎝ ∅ ⎠⎝           b,d,f,h,j,l,n,p,r,t           ⎠_x000D_
</t>
  </si>
  <si>
    <t xml:space="preserve">⎛ O ⎞⎛ A,B,C,D,E,F,G,H,I,J,K,L,M,N,P,Q,R,S,T,U ⎞_x000D_
⎝ ∅ ⎠⎝       a,b,d,e,g,h,j,k,m,n,p,q,s,t       ⎠_x000D_
</t>
  </si>
  <si>
    <t>USO DE RECURSOS ESTRATEGIA GEOMETRIC + MP + CUDA</t>
  </si>
  <si>
    <t>USO DE RECURSOS ESTRATEGIA GEOMETRIC + MP</t>
  </si>
  <si>
    <t>USO DE RECURSOS ESTRATEGIA GEOMETRIC</t>
  </si>
  <si>
    <t>MP vs Q (X)</t>
  </si>
  <si>
    <t>CUDA vs Q (X)</t>
  </si>
  <si>
    <t xml:space="preserve">⎛ R ⎞⎛   A,B,C,D,E,F,G,H,I,J,K,L,M,N,O,P,Q,S,T   ⎞_x000D_
⎝ ∅ ⎠⎝ a,b,c,d,e,f,g,h,i,j,k,l,m,n,o,p,q,r,s,t,u ⎠_x000D_
</t>
  </si>
  <si>
    <t xml:space="preserve">⎛ O ⎞⎛  A,B,C,D,E,F,G,H,I,J,K,L,M,N,P,Q,R,S,T  ⎞_x000D_
⎝ ∅ ⎠⎝ a,b,c,d,e,f,g,h,i,j,k,l,m,n,o,p,q,r,s,t ⎠_x000D_
</t>
  </si>
  <si>
    <t xml:space="preserve">⎛ O ⎞⎛  A,B,C,D,E,F,G,H,I,J,K,L,M,N,P,Q,R,S,T  ⎞_x000D_
⎝ ∅ ⎠⎝ b,c,d,e,f,g,h,i,j,k,l,m,n,o,p,q,r,s,t,u ⎠_x000D_
</t>
  </si>
  <si>
    <t xml:space="preserve">⎛ O ⎞⎛ A,B,C,D,E,F,G,H,I,J,K,L,M,N,P,Q,R,S,T ⎞_x000D_
⎝ ∅ ⎠⎝ b,c,d,e,f,g,h,i,j,k,l,m,n,o,p,q,r,s,t ⎠_x000D_
</t>
  </si>
  <si>
    <t xml:space="preserve">⎛ T ⎞⎛ A,B,C,D,E,F,G,H,I,J,K,L,M,N,O,P,Q,R,S ⎞_x000D_
⎝ ∅ ⎠⎝         a,c,e,g,i,k,m,o,q,s,u         ⎠_x000D_
</t>
  </si>
  <si>
    <t xml:space="preserve">⎛ P ⎞⎛ A,B,C,D,E,F,G,H,I,J,K,L,M,N,O,Q,R,S,T ⎞_x000D_
⎝ ∅ ⎠⎝          b,d,f,h,j,l,n,p,r,t          ⎠_x000D_
</t>
  </si>
  <si>
    <t xml:space="preserve">⎛ O ⎞⎛ A,B,C,D,E,F,G,H,I,J,K,L,M,N,P,Q,R,S,T ⎞_x000D_
⎝ ∅ ⎠⎝      a,b,d,e,g,h,j,k,m,n,p,q,s,t      ⎠_x000D_
</t>
  </si>
  <si>
    <t xml:space="preserve">⎛ R ⎞⎛   B,C,D,E,F,G,H,I,J,K,L,M,N,O,P,Q,S,T,U   ⎞_x000D_
⎝ ∅ ⎠⎝ a,b,c,d,e,f,g,h,i,j,k,l,m,n,o,p,q,r,s,t,u ⎠_x000D_
</t>
  </si>
  <si>
    <t xml:space="preserve">⎛ O ⎞⎛  B,C,D,E,F,G,H,I,J,K,L,M,N,P,Q,R,S,T,U  ⎞_x000D_
⎝ ∅ ⎠⎝ a,b,c,d,e,f,g,h,i,j,k,l,m,n,o,p,q,r,s,t ⎠_x000D_
</t>
  </si>
  <si>
    <t xml:space="preserve">⎛ O ⎞⎛  B,C,D,E,F,G,H,I,J,K,L,M,N,P,Q,R,S,T,U  ⎞_x000D_
⎝ ∅ ⎠⎝ b,c,d,e,f,g,h,i,j,k,l,m,n,o,p,q,r,s,t,u ⎠_x000D_
</t>
  </si>
  <si>
    <t xml:space="preserve">⎛ O ⎞⎛ B,C,D,E,F,G,H,I,J,K,L,M,N,P,Q,R,S,T,U ⎞_x000D_
⎝ ∅ ⎠⎝ b,c,d,e,f,g,h,i,j,k,l,m,n,o,p,q,r,s,t ⎠_x000D_
</t>
  </si>
  <si>
    <t xml:space="preserve">⎛ T ⎞⎛ B,C,D,E,F,G,H,I,J,K,L,M,N,O,P,Q,R,S,U ⎞_x000D_
⎝ ∅ ⎠⎝         a,c,e,g,i,k,m,o,q,s,u         ⎠_x000D_
</t>
  </si>
  <si>
    <t xml:space="preserve">⎛ P ⎞⎛ B,C,D,E,F,G,H,I,J,K,L,M,N,O,Q,R,S,T,U ⎞_x000D_
⎝ ∅ ⎠⎝          b,d,f,h,j,l,n,p,r,t          ⎠_x000D_
</t>
  </si>
  <si>
    <t xml:space="preserve">⎛ O ⎞⎛ B,C,D,E,F,G,H,I,J,K,L,M,N,P,Q,R,S,T,U ⎞_x000D_
⎝ ∅ ⎠⎝      a,b,d,e,g,h,j,k,m,n,p,q,s,t      ⎠_x000D_
</t>
  </si>
  <si>
    <t xml:space="preserve">⎛ R ⎞⎛    B,C,D,E,F,G,H,I,J,K,L,M,N,O,P,Q,S,T    ⎞_x000D_
⎝ ∅ ⎠⎝ a,b,c,d,e,f,g,h,i,j,k,l,m,n,o,p,q,r,s,t,u ⎠_x000D_
</t>
  </si>
  <si>
    <t xml:space="preserve">⎛ O ⎞⎛   B,C,D,E,F,G,H,I,J,K,L,M,N,P,Q,R,S,T   ⎞_x000D_
⎝ ∅ ⎠⎝ a,b,c,d,e,f,g,h,i,j,k,l,m,n,o,p,q,r,s,t ⎠_x000D_
</t>
  </si>
  <si>
    <t xml:space="preserve">⎛ O ⎞⎛   B,C,D,E,F,G,H,I,J,K,L,M,N,P,Q,R,S,T   ⎞_x000D_
⎝ ∅ ⎠⎝ b,c,d,e,f,g,h,i,j,k,l,m,n,o,p,q,r,s,t,u ⎠_x000D_
</t>
  </si>
  <si>
    <t xml:space="preserve">⎛ O ⎞⎛  B,C,D,E,F,G,H,I,J,K,L,M,N,P,Q,R,S,T  ⎞_x000D_
⎝ ∅ ⎠⎝ b,c,d,e,f,g,h,i,j,k,l,m,n,o,p,q,r,s,t ⎠_x000D_
</t>
  </si>
  <si>
    <t xml:space="preserve">⎛ T ⎞⎛ B,C,D,E,F,G,H,I,J,K,L,M,N,O,P,Q,R,S ⎞_x000D_
⎝ ∅ ⎠⎝        a,c,e,g,i,k,m,o,q,s,u        ⎠_x000D_
</t>
  </si>
  <si>
    <t xml:space="preserve">⎛ P ⎞⎛ B,C,D,E,F,G,H,I,J,K,L,M,N,O,Q,R,S,T ⎞_x000D_
⎝ ∅ ⎠⎝         b,d,f,h,j,l,n,p,r,t         ⎠_x000D_
</t>
  </si>
  <si>
    <t xml:space="preserve">⎛ O ⎞⎛ B,C,D,E,F,G,H,I,J,K,L,M,N,P,Q,R,S,T ⎞_x000D_
⎝ ∅ ⎠⎝     a,b,d,e,g,h,j,k,m,n,p,q,s,t     ⎠_x000D_
</t>
  </si>
  <si>
    <t xml:space="preserve">⎛ G ⎞⎛            A,C,E,I,K,M,O,Q,S,U            ⎞_x000D_
⎝ ∅ ⎠⎝ a,b,c,d,e,f,g,h,i,j,k,l,m,n,o,p,q,r,s,t,u ⎠_x000D_
</t>
  </si>
  <si>
    <t xml:space="preserve">⎛ O ⎞⎛           A,C,E,G,I,K,M,Q,S,U           ⎞_x000D_
⎝ ∅ ⎠⎝ a,b,c,d,e,f,g,h,i,j,k,l,m,n,o,p,q,r,s,t ⎠_x000D_
</t>
  </si>
  <si>
    <t xml:space="preserve">⎛ O ⎞⎛           A,C,E,G,I,K,M,Q,S,U           ⎞_x000D_
⎝ ∅ ⎠⎝ b,c,d,e,f,g,h,i,j,k,l,m,n,o,p,q,r,s,t,u ⎠_x000D_
</t>
  </si>
  <si>
    <t xml:space="preserve">⎛ O ⎞⎛          A,C,E,G,I,K,M,Q,S,U          ⎞_x000D_
⎝ ∅ ⎠⎝ b,c,d,e,f,g,h,i,j,k,l,m,n,o,p,q,r,s,t ⎠_x000D_
</t>
  </si>
  <si>
    <t xml:space="preserve">⎛ O ⎞⎛  A,C,E,G,I,K,M,Q,S,U  ⎞_x000D_
⎝ ∅ ⎠⎝ a,c,e,g,i,k,m,o,q,s,u ⎠_x000D_
</t>
  </si>
  <si>
    <t xml:space="preserve">⎛ C ⎞⎛ A,E,G,I,K,M,O,Q,S,U ⎞_x000D_
⎝ ∅ ⎠⎝ b,d,f,h,j,l,n,p,r,t ⎠_x000D_
</t>
  </si>
  <si>
    <t xml:space="preserve">⎛ O ⎞⎛     A,C,E,G,I,K,M,Q,S,U     ⎞_x000D_
⎝ ∅ ⎠⎝ a,b,d,e,g,h,j,k,m,n,p,q,s,t ⎠_x000D_
</t>
  </si>
  <si>
    <t xml:space="preserve">⎛ R ⎞⎛             B,D,F,H,J,L,N,P,T             ⎞_x000D_
⎝ ∅ ⎠⎝ a,b,c,d,e,f,g,h,i,j,k,l,m,n,o,p,q,r,s,t,u ⎠_x000D_
</t>
  </si>
  <si>
    <t xml:space="preserve">⎛ B ⎞⎛            D,F,H,J,L,N,P,R,T            ⎞_x000D_
⎝ ∅ ⎠⎝ a,b,c,d,e,f,g,h,i,j,k,l,m,n,o,p,q,r,s,t ⎠_x000D_
</t>
  </si>
  <si>
    <t xml:space="preserve">⎛ H ⎞⎛            B,D,F,J,L,N,P,R,T            ⎞_x000D_
⎝ ∅ ⎠⎝ b,c,d,e,f,g,h,i,j,k,l,m,n,o,p,q,r,s,t,u ⎠_x000D_
</t>
  </si>
  <si>
    <t xml:space="preserve">⎛ H ⎞⎛           B,D,F,J,L,N,P,R,T           ⎞_x000D_
⎝ ∅ ⎠⎝ b,c,d,e,f,g,h,i,j,k,l,m,n,o,p,q,r,s,t ⎠_x000D_
</t>
  </si>
  <si>
    <t xml:space="preserve">⎛ T ⎞⎛   B,D,F,H,J,L,N,P,R   ⎞_x000D_
⎝ ∅ ⎠⎝ a,c,e,g,i,k,m,o,q,s,u ⎠_x000D_
</t>
  </si>
  <si>
    <t xml:space="preserve">⎛ P ⎞⎛  B,D,F,H,J,L,N,R,T  ⎞_x000D_
⎝ ∅ ⎠⎝ b,d,f,h,j,l,n,p,r,t ⎠_x000D_
</t>
  </si>
  <si>
    <t xml:space="preserve">⎛ H ⎞⎛      B,D,F,J,L,N,P,R,T      ⎞_x000D_
⎝ ∅ ⎠⎝ a,b,d,e,g,h,j,k,m,n,p,q,s,t ⎠_x000D_
</t>
  </si>
  <si>
    <t xml:space="preserve">⎛ G ⎞⎛         A,B,D,E,H,J,K,M,N,P,Q,S,T         ⎞_x000D_
⎝ ∅ ⎠⎝ a,b,c,d,e,f,g,h,i,j,k,l,m,n,o,p,q,r,s,t,u ⎠_x000D_
</t>
  </si>
  <si>
    <t xml:space="preserve">⎛ S ⎞⎛        A,B,D,E,G,H,J,K,M,N,P,Q,T        ⎞_x000D_
⎝ ∅ ⎠⎝ a,b,c,d,e,f,g,h,i,j,k,l,m,n,o,p,q,r,s,t ⎠_x000D_
</t>
  </si>
  <si>
    <t xml:space="preserve">⎛ A ⎞⎛        B,D,E,G,H,J,K,M,N,P,Q,S,T        ⎞_x000D_
⎝ ∅ ⎠⎝ b,c,d,e,f,g,h,i,j,k,l,m,n,o,p,q,r,s,t,u ⎠_x000D_
</t>
  </si>
  <si>
    <t xml:space="preserve">⎛ H ⎞⎛       A,B,D,E,G,J,K,M,N,P,Q,S,T       ⎞_x000D_
⎝ ∅ ⎠⎝ b,c,d,e,f,g,h,i,j,k,l,m,n,o,p,q,r,s,t ⎠_x000D_
</t>
  </si>
  <si>
    <t xml:space="preserve">⎛ T ⎞⎛ A,B,D,E,G,H,J,K,M,N,P,Q,S ⎞_x000D_
⎝ ∅ ⎠⎝   a,c,e,g,i,k,m,o,q,s,u   ⎠_x000D_
</t>
  </si>
  <si>
    <t xml:space="preserve">⎛ P ⎞⎛ A,B,D,E,G,H,J,K,M,N,Q,S,T ⎞_x000D_
⎝ ∅ ⎠⎝    b,d,f,h,j,l,n,p,r,t    ⎠_x000D_
</t>
  </si>
  <si>
    <t xml:space="preserve">⎛ G ⎞⎛  A,B,D,E,H,J,K,M,N,P,Q,S,T  ⎞_x000D_
⎝ ∅ ⎠⎝ a,b,d,e,g,h,j,k,m,n,p,q,s,t ⎠_x000D_
</t>
  </si>
  <si>
    <t>Proceso</t>
  </si>
  <si>
    <t>Calculo de la tabla de costos</t>
  </si>
  <si>
    <t>Descomposicion en Tensores</t>
  </si>
  <si>
    <t>Identificacion de Candidatos + EXTRA + Filtrado</t>
  </si>
  <si>
    <t>Evaluacion de candidatos</t>
  </si>
  <si>
    <t>Tiempo Final</t>
  </si>
  <si>
    <t xml:space="preserve"> PROMEDIO DISCREPANCIA DE PERDIDA</t>
  </si>
  <si>
    <t>COMPARACION TIEMPOS POR FUNCION EN 21N</t>
  </si>
  <si>
    <t>Geometric MP CUDA (s)</t>
  </si>
  <si>
    <t>Geometric MP (s)</t>
  </si>
  <si>
    <t>Geometric (s)</t>
  </si>
  <si>
    <t>Qnodes (s)</t>
  </si>
  <si>
    <t>Comparacion Tiempos 20N</t>
  </si>
  <si>
    <t>SpeedUp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</si>
</sst>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Tie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4">
    <xf numFmtId="0" fontId="0" fillId="0" borderId="0" xfId="0" applyFont="1" applyAlignment="1"/>
    <xf numFmtId="0" fontId="0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3" fillId="2" borderId="0" xfId="0" applyFont="1" applyFill="1" applyAlignment="1"/>
    <xf numFmtId="0" fontId="0" fillId="0" borderId="0" xfId="0" applyFont="1" applyAlignment="1">
      <alignment horizontal="center" vertical="center" wrapText="1"/>
    </xf>
    <xf numFmtId="10" fontId="0" fillId="0" borderId="0" xfId="0" applyNumberFormat="1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0" fontId="0" fillId="0" borderId="1" xfId="0" applyNumberFormat="1" applyFont="1" applyBorder="1" applyAlignment="1">
      <alignment horizontal="center" vertical="center" wrapText="1"/>
    </xf>
    <xf numFmtId="10" fontId="5" fillId="5" borderId="1" xfId="0" applyNumberFormat="1" applyFont="1" applyFill="1" applyBorder="1" applyAlignment="1">
      <alignment horizontal="center" vertical="center" wrapText="1"/>
    </xf>
    <xf numFmtId="10" fontId="5" fillId="3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0" fontId="7" fillId="7" borderId="1" xfId="0" applyNumberFormat="1" applyFont="1" applyFill="1" applyBorder="1" applyAlignment="1">
      <alignment horizontal="center" vertical="center" wrapText="1"/>
    </xf>
    <xf numFmtId="2" fontId="7" fillId="7" borderId="1" xfId="0" applyNumberFormat="1" applyFont="1" applyFill="1" applyBorder="1" applyAlignment="1">
      <alignment horizontal="center" vertical="center" wrapText="1"/>
    </xf>
    <xf numFmtId="10" fontId="7" fillId="8" borderId="1" xfId="0" applyNumberFormat="1" applyFont="1" applyFill="1" applyBorder="1" applyAlignment="1">
      <alignment horizontal="center" vertical="center" wrapText="1"/>
    </xf>
    <xf numFmtId="2" fontId="7" fillId="8" borderId="1" xfId="0" applyNumberFormat="1" applyFont="1" applyFill="1" applyBorder="1" applyAlignment="1">
      <alignment horizontal="center" vertical="center" wrapText="1"/>
    </xf>
    <xf numFmtId="10" fontId="7" fillId="9" borderId="1" xfId="0" applyNumberFormat="1" applyFont="1" applyFill="1" applyBorder="1" applyAlignment="1">
      <alignment horizontal="center" vertical="center" wrapText="1"/>
    </xf>
    <xf numFmtId="2" fontId="7" fillId="9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2" fontId="5" fillId="3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Border="1" applyAlignment="1">
      <alignment horizontal="left" vertical="top" wrapText="1"/>
    </xf>
    <xf numFmtId="2" fontId="0" fillId="0" borderId="0" xfId="0" applyNumberFormat="1" applyFont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0" fontId="5" fillId="10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2" fontId="5" fillId="10" borderId="1" xfId="0" applyNumberFormat="1" applyFont="1" applyFill="1" applyBorder="1" applyAlignment="1">
      <alignment horizontal="center" vertical="center" wrapText="1"/>
    </xf>
    <xf numFmtId="2" fontId="6" fillId="9" borderId="1" xfId="0" applyNumberFormat="1" applyFont="1" applyFill="1" applyBorder="1" applyAlignment="1">
      <alignment horizontal="left" vertical="top" wrapText="1"/>
    </xf>
    <xf numFmtId="2" fontId="6" fillId="7" borderId="1" xfId="0" applyNumberFormat="1" applyFont="1" applyFill="1" applyBorder="1" applyAlignment="1">
      <alignment horizontal="left" vertical="top" wrapText="1"/>
    </xf>
    <xf numFmtId="2" fontId="6" fillId="8" borderId="1" xfId="0" applyNumberFormat="1" applyFont="1" applyFill="1" applyBorder="1" applyAlignment="1">
      <alignment horizontal="left" vertical="top" wrapText="1"/>
    </xf>
    <xf numFmtId="2" fontId="0" fillId="0" borderId="1" xfId="0" applyNumberFormat="1" applyFont="1" applyBorder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2" fontId="6" fillId="9" borderId="1" xfId="0" applyNumberFormat="1" applyFont="1" applyFill="1" applyBorder="1" applyAlignment="1">
      <alignment horizontal="left" vertical="top" wrapText="1"/>
    </xf>
    <xf numFmtId="2" fontId="6" fillId="7" borderId="1" xfId="0" applyNumberFormat="1" applyFont="1" applyFill="1" applyBorder="1" applyAlignment="1">
      <alignment horizontal="left" vertical="top" wrapText="1"/>
    </xf>
    <xf numFmtId="2" fontId="6" fillId="8" borderId="1" xfId="0" applyNumberFormat="1" applyFont="1" applyFill="1" applyBorder="1" applyAlignment="1">
      <alignment horizontal="left" vertical="top" wrapText="1"/>
    </xf>
    <xf numFmtId="2" fontId="8" fillId="0" borderId="1" xfId="0" applyNumberFormat="1" applyFont="1" applyBorder="1" applyAlignment="1">
      <alignment horizontal="left" vertical="top" wrapText="1"/>
    </xf>
    <xf numFmtId="2" fontId="5" fillId="3" borderId="1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10" fontId="0" fillId="11" borderId="1" xfId="0" applyNumberFormat="1" applyFont="1" applyFill="1" applyBorder="1" applyAlignment="1">
      <alignment horizontal="center" vertical="center"/>
    </xf>
    <xf numFmtId="10" fontId="0" fillId="12" borderId="1" xfId="0" applyNumberFormat="1" applyFont="1" applyFill="1" applyBorder="1" applyAlignment="1">
      <alignment horizontal="center" vertical="center"/>
    </xf>
    <xf numFmtId="10" fontId="0" fillId="13" borderId="1" xfId="0" applyNumberFormat="1" applyFont="1" applyFill="1" applyBorder="1" applyAlignment="1">
      <alignment horizontal="center" vertical="center"/>
    </xf>
    <xf numFmtId="10" fontId="0" fillId="14" borderId="1" xfId="0" applyNumberFormat="1" applyFont="1" applyFill="1" applyBorder="1" applyAlignment="1">
      <alignment horizontal="center" vertical="center"/>
    </xf>
    <xf numFmtId="10" fontId="6" fillId="15" borderId="1" xfId="0" applyNumberFormat="1" applyFont="1" applyFill="1" applyBorder="1" applyAlignment="1">
      <alignment horizontal="center" vertical="center"/>
    </xf>
    <xf numFmtId="2" fontId="0" fillId="11" borderId="1" xfId="0" applyNumberFormat="1" applyFont="1" applyFill="1" applyBorder="1" applyAlignment="1">
      <alignment horizontal="center" vertical="center"/>
    </xf>
    <xf numFmtId="2" fontId="0" fillId="12" borderId="1" xfId="0" applyNumberFormat="1" applyFont="1" applyFill="1" applyBorder="1" applyAlignment="1">
      <alignment horizontal="center" vertical="center"/>
    </xf>
    <xf numFmtId="2" fontId="0" fillId="13" borderId="1" xfId="0" applyNumberFormat="1" applyFont="1" applyFill="1" applyBorder="1" applyAlignment="1">
      <alignment horizontal="center" vertical="center"/>
    </xf>
    <xf numFmtId="2" fontId="0" fillId="14" borderId="1" xfId="0" applyNumberFormat="1" applyFont="1" applyFill="1" applyBorder="1" applyAlignment="1">
      <alignment horizontal="center" vertical="center"/>
    </xf>
    <xf numFmtId="2" fontId="6" fillId="15" borderId="1" xfId="0" applyNumberFormat="1" applyFont="1" applyFill="1" applyBorder="1" applyAlignment="1">
      <alignment horizontal="center" vertical="center"/>
    </xf>
    <xf numFmtId="2" fontId="11" fillId="13" borderId="1" xfId="0" applyNumberFormat="1" applyFont="1" applyFill="1" applyBorder="1" applyAlignment="1">
      <alignment horizontal="center" vertical="center"/>
    </xf>
    <xf numFmtId="0" fontId="0" fillId="0" borderId="9" xfId="0" applyFont="1" applyBorder="1" applyAlignment="1"/>
    <xf numFmtId="0" fontId="0" fillId="0" borderId="0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5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2" fontId="5" fillId="6" borderId="2" xfId="0" applyNumberFormat="1" applyFont="1" applyFill="1" applyBorder="1" applyAlignment="1">
      <alignment horizontal="center" vertical="center" wrapText="1"/>
    </xf>
    <xf numFmtId="2" fontId="6" fillId="9" borderId="1" xfId="0" applyNumberFormat="1" applyFont="1" applyFill="1" applyBorder="1" applyAlignment="1">
      <alignment horizontal="left" vertical="top" wrapText="1"/>
    </xf>
    <xf numFmtId="2" fontId="6" fillId="7" borderId="1" xfId="0" applyNumberFormat="1" applyFont="1" applyFill="1" applyBorder="1" applyAlignment="1">
      <alignment horizontal="left" vertical="top" wrapText="1"/>
    </xf>
    <xf numFmtId="2" fontId="6" fillId="8" borderId="1" xfId="0" applyNumberFormat="1" applyFont="1" applyFill="1" applyBorder="1" applyAlignment="1">
      <alignment horizontal="left" vertical="top" wrapText="1"/>
    </xf>
    <xf numFmtId="2" fontId="5" fillId="3" borderId="1" xfId="0" applyNumberFormat="1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2" fontId="5" fillId="10" borderId="2" xfId="0" applyNumberFormat="1" applyFont="1" applyFill="1" applyBorder="1" applyAlignment="1">
      <alignment horizontal="center" vertical="center" wrapText="1"/>
    </xf>
    <xf numFmtId="2" fontId="5" fillId="10" borderId="4" xfId="0" applyNumberFormat="1" applyFont="1" applyFill="1" applyBorder="1" applyAlignment="1">
      <alignment horizontal="center" vertical="center" wrapText="1"/>
    </xf>
    <xf numFmtId="2" fontId="5" fillId="6" borderId="4" xfId="0" applyNumberFormat="1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14" borderId="5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0" fontId="0" fillId="6" borderId="1" xfId="0" applyNumberFormat="1" applyFont="1" applyFill="1" applyBorder="1" applyAlignment="1">
      <alignment horizontal="center" vertical="center"/>
    </xf>
    <xf numFmtId="2" fontId="5" fillId="10" borderId="0" xfId="0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2" fontId="5" fillId="3" borderId="18" xfId="0" applyNumberFormat="1" applyFont="1" applyFill="1" applyBorder="1" applyAlignment="1">
      <alignment horizontal="center" vertical="center" wrapText="1"/>
    </xf>
    <xf numFmtId="2" fontId="5" fillId="5" borderId="18" xfId="0" applyNumberFormat="1" applyFont="1" applyFill="1" applyBorder="1" applyAlignment="1">
      <alignment horizontal="center" vertical="center" wrapText="1"/>
    </xf>
    <xf numFmtId="2" fontId="5" fillId="10" borderId="18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6" fillId="15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/>
    <xf numFmtId="0" fontId="10" fillId="5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 wrapText="1"/>
    </xf>
    <xf numFmtId="2" fontId="6" fillId="0" borderId="0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2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Comparativa Perdida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Plantilla!$D$2</c:f>
              <c:strCache>
                <c:ptCount val="1"/>
                <c:pt idx="0">
                  <c:v>Perdida Phi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Plantilla!$D$3:$D$52</c:f>
              <c:numCache>
                <c:formatCode>0.00</c:formatCode>
                <c:ptCount val="50"/>
              </c:numCache>
            </c:numRef>
          </c:val>
          <c:extLst>
            <c:ext xmlns:c16="http://schemas.microsoft.com/office/drawing/2014/chart" uri="{C3380CC4-5D6E-409C-BE32-E72D297353CC}">
              <c16:uniqueId val="{00000000-6AF4-4216-BCE7-5170DB15AD6D}"/>
            </c:ext>
          </c:extLst>
        </c:ser>
        <c:ser>
          <c:idx val="2"/>
          <c:order val="1"/>
          <c:tx>
            <c:strRef>
              <c:f>Plantilla!$G$2</c:f>
              <c:strCache>
                <c:ptCount val="1"/>
                <c:pt idx="0">
                  <c:v>Perdida 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Plantilla!$G$3:$G$52</c:f>
              <c:numCache>
                <c:formatCode>0.00</c:formatCode>
                <c:ptCount val="50"/>
              </c:numCache>
            </c:numRef>
          </c:val>
          <c:extLst>
            <c:ext xmlns:c16="http://schemas.microsoft.com/office/drawing/2014/chart" uri="{C3380CC4-5D6E-409C-BE32-E72D297353CC}">
              <c16:uniqueId val="{00000001-6AF4-4216-BCE7-5170DB15AD6D}"/>
            </c:ext>
          </c:extLst>
        </c:ser>
        <c:ser>
          <c:idx val="3"/>
          <c:order val="2"/>
          <c:tx>
            <c:strRef>
              <c:f>Plantilla!$J$2</c:f>
              <c:strCache>
                <c:ptCount val="1"/>
                <c:pt idx="0">
                  <c:v>Perdida 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Plantilla!$J$3:$J$52</c:f>
              <c:numCache>
                <c:formatCode>0.00</c:formatCode>
                <c:ptCount val="50"/>
              </c:numCache>
            </c:numRef>
          </c:val>
          <c:extLst>
            <c:ext xmlns:c16="http://schemas.microsoft.com/office/drawing/2014/chart" uri="{C3380CC4-5D6E-409C-BE32-E72D297353CC}">
              <c16:uniqueId val="{00000002-6AF4-4216-BCE7-5170DB15AD6D}"/>
            </c:ext>
          </c:extLst>
        </c:ser>
        <c:ser>
          <c:idx val="0"/>
          <c:order val="3"/>
          <c:tx>
            <c:strRef>
              <c:f>Plantilla!$M$2</c:f>
              <c:strCache>
                <c:ptCount val="1"/>
                <c:pt idx="0">
                  <c:v>Perdida CUDA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Plantilla!$M$3:$M$52</c:f>
              <c:numCache>
                <c:formatCode>0.00</c:formatCode>
                <c:ptCount val="50"/>
              </c:numCache>
            </c:numRef>
          </c:val>
          <c:extLst>
            <c:ext xmlns:c16="http://schemas.microsoft.com/office/drawing/2014/chart" uri="{C3380CC4-5D6E-409C-BE32-E72D297353CC}">
              <c16:uniqueId val="{00000000-81D0-4C2E-A815-E437F74CB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255296"/>
        <c:axId val="599246176"/>
      </c:barChart>
      <c:catAx>
        <c:axId val="59925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46176"/>
        <c:crosses val="autoZero"/>
        <c:auto val="1"/>
        <c:lblAlgn val="ctr"/>
        <c:lblOffset val="100"/>
        <c:noMultiLvlLbl val="0"/>
      </c:catAx>
      <c:valAx>
        <c:axId val="5992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Comparativa Tiempo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Plantilla!$E$2</c:f>
              <c:strCache>
                <c:ptCount val="1"/>
                <c:pt idx="0">
                  <c:v>Tiempo Phi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Plantilla!$E$3:$E$52</c:f>
              <c:numCache>
                <c:formatCode>0.00</c:formatCode>
                <c:ptCount val="50"/>
              </c:numCache>
            </c:numRef>
          </c:val>
          <c:extLst>
            <c:ext xmlns:c16="http://schemas.microsoft.com/office/drawing/2014/chart" uri="{C3380CC4-5D6E-409C-BE32-E72D297353CC}">
              <c16:uniqueId val="{00000000-59E8-484B-B536-306C64099363}"/>
            </c:ext>
          </c:extLst>
        </c:ser>
        <c:ser>
          <c:idx val="2"/>
          <c:order val="1"/>
          <c:tx>
            <c:strRef>
              <c:f>Plantilla!$H$2</c:f>
              <c:strCache>
                <c:ptCount val="1"/>
                <c:pt idx="0">
                  <c:v>Tiempo 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Plantilla!$H$3:$H$52</c:f>
              <c:numCache>
                <c:formatCode>0.00</c:formatCode>
                <c:ptCount val="50"/>
              </c:numCache>
            </c:numRef>
          </c:val>
          <c:extLst>
            <c:ext xmlns:c16="http://schemas.microsoft.com/office/drawing/2014/chart" uri="{C3380CC4-5D6E-409C-BE32-E72D297353CC}">
              <c16:uniqueId val="{00000001-59E8-484B-B536-306C64099363}"/>
            </c:ext>
          </c:extLst>
        </c:ser>
        <c:ser>
          <c:idx val="3"/>
          <c:order val="2"/>
          <c:tx>
            <c:strRef>
              <c:f>Plantilla!$K$2</c:f>
              <c:strCache>
                <c:ptCount val="1"/>
                <c:pt idx="0">
                  <c:v>Tiempo 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Plantilla!$K$3:$K$52</c:f>
              <c:numCache>
                <c:formatCode>0.00</c:formatCode>
                <c:ptCount val="50"/>
              </c:numCache>
            </c:numRef>
          </c:val>
          <c:extLst>
            <c:ext xmlns:c16="http://schemas.microsoft.com/office/drawing/2014/chart" uri="{C3380CC4-5D6E-409C-BE32-E72D297353CC}">
              <c16:uniqueId val="{00000002-59E8-484B-B536-306C64099363}"/>
            </c:ext>
          </c:extLst>
        </c:ser>
        <c:ser>
          <c:idx val="0"/>
          <c:order val="3"/>
          <c:tx>
            <c:strRef>
              <c:f>Plantilla!$N$2</c:f>
              <c:strCache>
                <c:ptCount val="1"/>
                <c:pt idx="0">
                  <c:v>Tiempo CUDA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Plantilla!$N$3:$N$52</c:f>
              <c:numCache>
                <c:formatCode>0.00</c:formatCode>
                <c:ptCount val="50"/>
              </c:numCache>
            </c:numRef>
          </c:val>
          <c:extLst>
            <c:ext xmlns:c16="http://schemas.microsoft.com/office/drawing/2014/chart" uri="{C3380CC4-5D6E-409C-BE32-E72D297353CC}">
              <c16:uniqueId val="{00000000-29E7-4FDE-96F4-73944DD49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255296"/>
        <c:axId val="599246176"/>
      </c:barChart>
      <c:catAx>
        <c:axId val="59925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46176"/>
        <c:crosses val="autoZero"/>
        <c:auto val="1"/>
        <c:lblAlgn val="ctr"/>
        <c:lblOffset val="100"/>
        <c:noMultiLvlLbl val="0"/>
      </c:catAx>
      <c:valAx>
        <c:axId val="5992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</a:t>
            </a:r>
            <a:r>
              <a:rPr lang="es-ES" baseline="0"/>
              <a:t> de Perdida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Plantilla!$I$54:$K$54</c:f>
              <c:strCache>
                <c:ptCount val="3"/>
                <c:pt idx="0">
                  <c:v>MINIMO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Plantilla!$O$56:$Q$56</c:f>
              <c:strCache>
                <c:ptCount val="3"/>
                <c:pt idx="0">
                  <c:v>% Perdida Pro</c:v>
                </c:pt>
                <c:pt idx="1">
                  <c:v>% Perdida MP</c:v>
                </c:pt>
                <c:pt idx="2">
                  <c:v>% Perdida CUDA</c:v>
                </c:pt>
              </c:strCache>
            </c:strRef>
          </c:cat>
          <c:val>
            <c:numRef>
              <c:f>Plantilla!$O$54:$Q$54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C-4979-B59E-71CA63CC6728}"/>
            </c:ext>
          </c:extLst>
        </c:ser>
        <c:ser>
          <c:idx val="0"/>
          <c:order val="1"/>
          <c:tx>
            <c:strRef>
              <c:f>Plantilla!$I$53:$K$53</c:f>
              <c:strCache>
                <c:ptCount val="3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Plantilla!$O$56:$Q$56</c:f>
              <c:strCache>
                <c:ptCount val="3"/>
                <c:pt idx="0">
                  <c:v>% Perdida Pro</c:v>
                </c:pt>
                <c:pt idx="1">
                  <c:v>% Perdida MP</c:v>
                </c:pt>
                <c:pt idx="2">
                  <c:v>% Perdida CUDA</c:v>
                </c:pt>
              </c:strCache>
            </c:strRef>
          </c:cat>
          <c:val>
            <c:numRef>
              <c:f>Plantilla!$O$53:$Q$53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2C-4979-B59E-71CA63CC6728}"/>
            </c:ext>
          </c:extLst>
        </c:ser>
        <c:ser>
          <c:idx val="2"/>
          <c:order val="2"/>
          <c:tx>
            <c:strRef>
              <c:f>Plantilla!$I$55:$K$55</c:f>
              <c:strCache>
                <c:ptCount val="3"/>
                <c:pt idx="0">
                  <c:v>MAXIMO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Plantilla!$O$56:$Q$56</c:f>
              <c:strCache>
                <c:ptCount val="3"/>
                <c:pt idx="0">
                  <c:v>% Perdida Pro</c:v>
                </c:pt>
                <c:pt idx="1">
                  <c:v>% Perdida MP</c:v>
                </c:pt>
                <c:pt idx="2">
                  <c:v>% Perdida CUDA</c:v>
                </c:pt>
              </c:strCache>
            </c:strRef>
          </c:cat>
          <c:val>
            <c:numRef>
              <c:f>Plantilla!$O$55:$Q$55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2C-4979-B59E-71CA63CC6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447136"/>
        <c:axId val="488450016"/>
      </c:barChart>
      <c:catAx>
        <c:axId val="48844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50016"/>
        <c:crosses val="autoZero"/>
        <c:auto val="1"/>
        <c:lblAlgn val="ctr"/>
        <c:lblOffset val="100"/>
        <c:noMultiLvlLbl val="0"/>
      </c:catAx>
      <c:valAx>
        <c:axId val="4884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</a:t>
            </a:r>
            <a:r>
              <a:rPr lang="es-ES" baseline="0"/>
              <a:t> de SpeedUp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Plantilla!$I$54:$K$54</c:f>
              <c:strCache>
                <c:ptCount val="3"/>
                <c:pt idx="0">
                  <c:v>MINIMO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Plantilla!$R$56:$T$56</c:f>
              <c:strCache>
                <c:ptCount val="3"/>
                <c:pt idx="0">
                  <c:v>SpeedUp Pro (X)</c:v>
                </c:pt>
                <c:pt idx="1">
                  <c:v>SpeedUp MP (X)</c:v>
                </c:pt>
                <c:pt idx="2">
                  <c:v>SpeedUp CUDA (X)</c:v>
                </c:pt>
              </c:strCache>
            </c:strRef>
          </c:cat>
          <c:val>
            <c:numRef>
              <c:f>Plantilla!$R$54:$T$54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D-4F77-B55E-0E13F736CC85}"/>
            </c:ext>
          </c:extLst>
        </c:ser>
        <c:ser>
          <c:idx val="0"/>
          <c:order val="1"/>
          <c:tx>
            <c:strRef>
              <c:f>Plantilla!$I$53:$K$53</c:f>
              <c:strCache>
                <c:ptCount val="3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Plantilla!$R$56:$T$56</c:f>
              <c:strCache>
                <c:ptCount val="3"/>
                <c:pt idx="0">
                  <c:v>SpeedUp Pro (X)</c:v>
                </c:pt>
                <c:pt idx="1">
                  <c:v>SpeedUp MP (X)</c:v>
                </c:pt>
                <c:pt idx="2">
                  <c:v>SpeedUp CUDA (X)</c:v>
                </c:pt>
              </c:strCache>
            </c:strRef>
          </c:cat>
          <c:val>
            <c:numRef>
              <c:f>Plantilla!$R$53:$T$53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CD-4F77-B55E-0E13F736CC85}"/>
            </c:ext>
          </c:extLst>
        </c:ser>
        <c:ser>
          <c:idx val="2"/>
          <c:order val="2"/>
          <c:tx>
            <c:strRef>
              <c:f>Plantilla!$I$55:$K$55</c:f>
              <c:strCache>
                <c:ptCount val="3"/>
                <c:pt idx="0">
                  <c:v>MAXIMO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Plantilla!$R$56:$T$56</c:f>
              <c:strCache>
                <c:ptCount val="3"/>
                <c:pt idx="0">
                  <c:v>SpeedUp Pro (X)</c:v>
                </c:pt>
                <c:pt idx="1">
                  <c:v>SpeedUp MP (X)</c:v>
                </c:pt>
                <c:pt idx="2">
                  <c:v>SpeedUp CUDA (X)</c:v>
                </c:pt>
              </c:strCache>
            </c:strRef>
          </c:cat>
          <c:val>
            <c:numRef>
              <c:f>Plantilla!$R$55:$T$55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CD-4F77-B55E-0E13F736C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447136"/>
        <c:axId val="488450016"/>
      </c:barChart>
      <c:catAx>
        <c:axId val="48844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50016"/>
        <c:crosses val="autoZero"/>
        <c:auto val="1"/>
        <c:lblAlgn val="ctr"/>
        <c:lblOffset val="100"/>
        <c:noMultiLvlLbl val="0"/>
      </c:catAx>
      <c:valAx>
        <c:axId val="4884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Comparativa Perdida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'3 Elementos'!$D$2</c:f>
              <c:strCache>
                <c:ptCount val="1"/>
                <c:pt idx="0">
                  <c:v>Perdida Phi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'3 Elementos'!$D$3:$D$51</c:f>
              <c:numCache>
                <c:formatCode>0.00</c:formatCode>
                <c:ptCount val="49"/>
                <c:pt idx="0">
                  <c:v>0.25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</c:v>
                </c:pt>
                <c:pt idx="8">
                  <c:v>0</c:v>
                </c:pt>
                <c:pt idx="9">
                  <c:v>0.25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0.5</c:v>
                </c:pt>
                <c:pt idx="29">
                  <c:v>0.25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0.25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0.25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6-43AE-946D-564C364F5564}"/>
            </c:ext>
          </c:extLst>
        </c:ser>
        <c:ser>
          <c:idx val="2"/>
          <c:order val="1"/>
          <c:tx>
            <c:strRef>
              <c:f>'3 Elementos'!$G$2</c:f>
              <c:strCache>
                <c:ptCount val="1"/>
                <c:pt idx="0">
                  <c:v>Perdida 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'3 Elementos'!$G$3:$G$51</c:f>
              <c:numCache>
                <c:formatCode>0.00</c:formatCode>
                <c:ptCount val="49"/>
                <c:pt idx="0">
                  <c:v>0.25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</c:v>
                </c:pt>
                <c:pt idx="11">
                  <c:v>0.25</c:v>
                </c:pt>
                <c:pt idx="12">
                  <c:v>0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0.25</c:v>
                </c:pt>
                <c:pt idx="21">
                  <c:v>0</c:v>
                </c:pt>
                <c:pt idx="22">
                  <c:v>0.25</c:v>
                </c:pt>
                <c:pt idx="23">
                  <c:v>0.25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0.25</c:v>
                </c:pt>
                <c:pt idx="28">
                  <c:v>0.5</c:v>
                </c:pt>
                <c:pt idx="29">
                  <c:v>0.25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0.25</c:v>
                </c:pt>
                <c:pt idx="35">
                  <c:v>0</c:v>
                </c:pt>
                <c:pt idx="36">
                  <c:v>0.25</c:v>
                </c:pt>
                <c:pt idx="37">
                  <c:v>0.25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</c:v>
                </c:pt>
                <c:pt idx="46">
                  <c:v>0.25</c:v>
                </c:pt>
                <c:pt idx="47">
                  <c:v>0</c:v>
                </c:pt>
                <c:pt idx="48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56-43AE-946D-564C364F5564}"/>
            </c:ext>
          </c:extLst>
        </c:ser>
        <c:ser>
          <c:idx val="3"/>
          <c:order val="2"/>
          <c:tx>
            <c:strRef>
              <c:f>'3 Elementos'!$J$2</c:f>
              <c:strCache>
                <c:ptCount val="1"/>
                <c:pt idx="0">
                  <c:v>Perdida 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'3 Elementos'!$J$3:$J$51</c:f>
              <c:numCache>
                <c:formatCode>0.00</c:formatCode>
                <c:ptCount val="49"/>
                <c:pt idx="0">
                  <c:v>0.25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</c:v>
                </c:pt>
                <c:pt idx="11">
                  <c:v>0.25</c:v>
                </c:pt>
                <c:pt idx="12">
                  <c:v>0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0.25</c:v>
                </c:pt>
                <c:pt idx="21">
                  <c:v>0</c:v>
                </c:pt>
                <c:pt idx="22">
                  <c:v>0.25</c:v>
                </c:pt>
                <c:pt idx="23">
                  <c:v>0.25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0.25</c:v>
                </c:pt>
                <c:pt idx="28">
                  <c:v>0.5</c:v>
                </c:pt>
                <c:pt idx="29">
                  <c:v>0.25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0.25</c:v>
                </c:pt>
                <c:pt idx="35">
                  <c:v>0</c:v>
                </c:pt>
                <c:pt idx="36">
                  <c:v>0.25</c:v>
                </c:pt>
                <c:pt idx="37">
                  <c:v>0.25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</c:v>
                </c:pt>
                <c:pt idx="46">
                  <c:v>0.25</c:v>
                </c:pt>
                <c:pt idx="47">
                  <c:v>0</c:v>
                </c:pt>
                <c:pt idx="48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56-43AE-946D-564C364F5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255296"/>
        <c:axId val="599246176"/>
      </c:barChart>
      <c:catAx>
        <c:axId val="59925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46176"/>
        <c:crosses val="autoZero"/>
        <c:auto val="1"/>
        <c:lblAlgn val="ctr"/>
        <c:lblOffset val="100"/>
        <c:noMultiLvlLbl val="0"/>
      </c:catAx>
      <c:valAx>
        <c:axId val="5992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Comparativa Tiempo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'3 Elementos'!$E$2</c:f>
              <c:strCache>
                <c:ptCount val="1"/>
                <c:pt idx="0">
                  <c:v>Tiempo Phi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'3 Elementos'!$E$3:$E$51</c:f>
              <c:numCache>
                <c:formatCode>0.00</c:formatCode>
                <c:ptCount val="49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0.02</c:v>
                </c:pt>
                <c:pt idx="5">
                  <c:v>0.06</c:v>
                </c:pt>
                <c:pt idx="6">
                  <c:v>0.21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0.01</c:v>
                </c:pt>
                <c:pt idx="11">
                  <c:v>0.02</c:v>
                </c:pt>
                <c:pt idx="12">
                  <c:v>0.05</c:v>
                </c:pt>
                <c:pt idx="13">
                  <c:v>0.19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0.01</c:v>
                </c:pt>
                <c:pt idx="18">
                  <c:v>0.02</c:v>
                </c:pt>
                <c:pt idx="19">
                  <c:v>0.05</c:v>
                </c:pt>
                <c:pt idx="20">
                  <c:v>0.18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0.01</c:v>
                </c:pt>
                <c:pt idx="25">
                  <c:v>0.02</c:v>
                </c:pt>
                <c:pt idx="26">
                  <c:v>7.0000000000000007E-2</c:v>
                </c:pt>
                <c:pt idx="27">
                  <c:v>0.17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0.02</c:v>
                </c:pt>
                <c:pt idx="33">
                  <c:v>0.05</c:v>
                </c:pt>
                <c:pt idx="34">
                  <c:v>0.19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0.02</c:v>
                </c:pt>
                <c:pt idx="40">
                  <c:v>0.05</c:v>
                </c:pt>
                <c:pt idx="41">
                  <c:v>0.2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0.01</c:v>
                </c:pt>
                <c:pt idx="46">
                  <c:v>0.01</c:v>
                </c:pt>
                <c:pt idx="47">
                  <c:v>0.05</c:v>
                </c:pt>
                <c:pt idx="48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A-4D1C-AF74-66179BBB09BA}"/>
            </c:ext>
          </c:extLst>
        </c:ser>
        <c:ser>
          <c:idx val="2"/>
          <c:order val="1"/>
          <c:tx>
            <c:strRef>
              <c:f>'3 Elementos'!$H$2</c:f>
              <c:strCache>
                <c:ptCount val="1"/>
                <c:pt idx="0">
                  <c:v>Tiempo 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'3 Elementos'!$H$3:$H$51</c:f>
              <c:numCache>
                <c:formatCode>0.00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7A-4D1C-AF74-66179BBB09BA}"/>
            </c:ext>
          </c:extLst>
        </c:ser>
        <c:ser>
          <c:idx val="3"/>
          <c:order val="2"/>
          <c:tx>
            <c:strRef>
              <c:f>'3 Elementos'!$K$2</c:f>
              <c:strCache>
                <c:ptCount val="1"/>
                <c:pt idx="0">
                  <c:v>Tiempo 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'3 Elementos'!$K$3:$K$51</c:f>
              <c:numCache>
                <c:formatCode>0.00</c:formatCode>
                <c:ptCount val="49"/>
                <c:pt idx="0">
                  <c:v>11.84</c:v>
                </c:pt>
                <c:pt idx="1">
                  <c:v>11.44</c:v>
                </c:pt>
                <c:pt idx="2">
                  <c:v>10.95</c:v>
                </c:pt>
                <c:pt idx="3">
                  <c:v>11.03</c:v>
                </c:pt>
                <c:pt idx="4">
                  <c:v>10.86</c:v>
                </c:pt>
                <c:pt idx="5">
                  <c:v>11.07</c:v>
                </c:pt>
                <c:pt idx="6">
                  <c:v>10.84</c:v>
                </c:pt>
                <c:pt idx="7">
                  <c:v>10.84</c:v>
                </c:pt>
                <c:pt idx="8">
                  <c:v>10.98</c:v>
                </c:pt>
                <c:pt idx="9">
                  <c:v>11.04</c:v>
                </c:pt>
                <c:pt idx="10">
                  <c:v>10.89</c:v>
                </c:pt>
                <c:pt idx="11">
                  <c:v>10.82</c:v>
                </c:pt>
                <c:pt idx="12">
                  <c:v>10.68</c:v>
                </c:pt>
                <c:pt idx="13">
                  <c:v>10.72</c:v>
                </c:pt>
                <c:pt idx="14">
                  <c:v>10.67</c:v>
                </c:pt>
                <c:pt idx="15">
                  <c:v>10.92</c:v>
                </c:pt>
                <c:pt idx="16">
                  <c:v>10.77</c:v>
                </c:pt>
                <c:pt idx="17">
                  <c:v>10.96</c:v>
                </c:pt>
                <c:pt idx="18">
                  <c:v>11.1</c:v>
                </c:pt>
                <c:pt idx="19">
                  <c:v>10.66</c:v>
                </c:pt>
                <c:pt idx="20">
                  <c:v>10.99</c:v>
                </c:pt>
                <c:pt idx="21">
                  <c:v>11.76</c:v>
                </c:pt>
                <c:pt idx="22">
                  <c:v>11.2</c:v>
                </c:pt>
                <c:pt idx="23">
                  <c:v>10.87</c:v>
                </c:pt>
                <c:pt idx="24">
                  <c:v>10.87</c:v>
                </c:pt>
                <c:pt idx="25">
                  <c:v>10.68</c:v>
                </c:pt>
                <c:pt idx="26">
                  <c:v>10.89</c:v>
                </c:pt>
                <c:pt idx="27">
                  <c:v>10.88</c:v>
                </c:pt>
                <c:pt idx="28">
                  <c:v>10.71</c:v>
                </c:pt>
                <c:pt idx="29">
                  <c:v>10.88</c:v>
                </c:pt>
                <c:pt idx="30">
                  <c:v>10.82</c:v>
                </c:pt>
                <c:pt idx="31">
                  <c:v>10.77</c:v>
                </c:pt>
                <c:pt idx="32">
                  <c:v>10.73</c:v>
                </c:pt>
                <c:pt idx="33">
                  <c:v>11.63</c:v>
                </c:pt>
                <c:pt idx="34">
                  <c:v>12.35</c:v>
                </c:pt>
                <c:pt idx="35">
                  <c:v>12.36</c:v>
                </c:pt>
                <c:pt idx="36">
                  <c:v>12.96</c:v>
                </c:pt>
                <c:pt idx="37">
                  <c:v>12.2</c:v>
                </c:pt>
                <c:pt idx="38">
                  <c:v>13.92</c:v>
                </c:pt>
                <c:pt idx="39">
                  <c:v>15.94</c:v>
                </c:pt>
                <c:pt idx="40">
                  <c:v>13.79</c:v>
                </c:pt>
                <c:pt idx="41">
                  <c:v>12.2</c:v>
                </c:pt>
                <c:pt idx="42">
                  <c:v>11.7</c:v>
                </c:pt>
                <c:pt idx="43">
                  <c:v>11.94</c:v>
                </c:pt>
                <c:pt idx="44">
                  <c:v>11.84</c:v>
                </c:pt>
                <c:pt idx="45">
                  <c:v>12</c:v>
                </c:pt>
                <c:pt idx="46">
                  <c:v>11.87</c:v>
                </c:pt>
                <c:pt idx="47">
                  <c:v>11.79</c:v>
                </c:pt>
                <c:pt idx="48">
                  <c:v>12.08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7A-4D1C-AF74-66179BBB0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255296"/>
        <c:axId val="599246176"/>
      </c:barChart>
      <c:catAx>
        <c:axId val="59925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46176"/>
        <c:crosses val="autoZero"/>
        <c:auto val="1"/>
        <c:lblAlgn val="ctr"/>
        <c:lblOffset val="100"/>
        <c:noMultiLvlLbl val="0"/>
      </c:catAx>
      <c:valAx>
        <c:axId val="5992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</a:t>
            </a:r>
            <a:r>
              <a:rPr lang="es-ES" baseline="0"/>
              <a:t> de Perdida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'3 Elementos'!$I$53:$K$53</c:f>
              <c:strCache>
                <c:ptCount val="3"/>
                <c:pt idx="0">
                  <c:v>MINIMO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 Elementos'!$L$55:$M$55</c:f>
              <c:strCache>
                <c:ptCount val="2"/>
                <c:pt idx="0">
                  <c:v>% Perdida Pro</c:v>
                </c:pt>
                <c:pt idx="1">
                  <c:v>% Perdida MP</c:v>
                </c:pt>
              </c:strCache>
            </c:strRef>
          </c:cat>
          <c:val>
            <c:numRef>
              <c:f>'3 Elementos'!$L$53:$M$53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52E-451E-9673-C36B10E40743}"/>
            </c:ext>
          </c:extLst>
        </c:ser>
        <c:ser>
          <c:idx val="0"/>
          <c:order val="1"/>
          <c:tx>
            <c:strRef>
              <c:f>'3 Elementos'!$I$52:$K$52</c:f>
              <c:strCache>
                <c:ptCount val="3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 Elementos'!$L$55:$M$55</c:f>
              <c:strCache>
                <c:ptCount val="2"/>
                <c:pt idx="0">
                  <c:v>% Perdida Pro</c:v>
                </c:pt>
                <c:pt idx="1">
                  <c:v>% Perdida MP</c:v>
                </c:pt>
              </c:strCache>
            </c:strRef>
          </c:cat>
          <c:val>
            <c:numRef>
              <c:f>'3 Elementos'!$L$52:$M$52</c:f>
              <c:numCache>
                <c:formatCode>0.00%</c:formatCode>
                <c:ptCount val="2"/>
                <c:pt idx="0">
                  <c:v>7.6530612244897961E-2</c:v>
                </c:pt>
                <c:pt idx="1">
                  <c:v>7.6530612244897961E-2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2E-451E-9673-C36B10E40743}"/>
            </c:ext>
          </c:extLst>
        </c:ser>
        <c:ser>
          <c:idx val="2"/>
          <c:order val="2"/>
          <c:tx>
            <c:strRef>
              <c:f>'3 Elementos'!$I$54:$K$54</c:f>
              <c:strCache>
                <c:ptCount val="3"/>
                <c:pt idx="0">
                  <c:v>MAXIMO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 Elementos'!$L$55:$M$55</c:f>
              <c:strCache>
                <c:ptCount val="2"/>
                <c:pt idx="0">
                  <c:v>% Perdida Pro</c:v>
                </c:pt>
                <c:pt idx="1">
                  <c:v>% Perdida MP</c:v>
                </c:pt>
              </c:strCache>
            </c:strRef>
          </c:cat>
          <c:val>
            <c:numRef>
              <c:f>'3 Elementos'!$L$54:$M$54</c:f>
              <c:numCache>
                <c:formatCode>0.00%</c:formatCode>
                <c:ptCount val="2"/>
                <c:pt idx="0">
                  <c:v>0.25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2E-451E-9673-C36B10E40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447136"/>
        <c:axId val="488450016"/>
      </c:barChart>
      <c:catAx>
        <c:axId val="48844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50016"/>
        <c:crosses val="autoZero"/>
        <c:auto val="1"/>
        <c:lblAlgn val="ctr"/>
        <c:lblOffset val="100"/>
        <c:noMultiLvlLbl val="0"/>
      </c:catAx>
      <c:valAx>
        <c:axId val="4884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</a:t>
            </a:r>
            <a:r>
              <a:rPr lang="es-ES" baseline="0"/>
              <a:t> de SpeedUp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'3 Elementos'!$I$53:$K$53</c:f>
              <c:strCache>
                <c:ptCount val="3"/>
                <c:pt idx="0">
                  <c:v>MINIMO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 Elementos'!$N$55:$O$55</c:f>
              <c:strCache>
                <c:ptCount val="2"/>
                <c:pt idx="0">
                  <c:v>SpeedUp Pro (X)</c:v>
                </c:pt>
                <c:pt idx="1">
                  <c:v>SpeedUp MP (X)</c:v>
                </c:pt>
              </c:strCache>
            </c:strRef>
          </c:cat>
          <c:val>
            <c:numRef>
              <c:f>'3 Elementos'!$N$53:$O$53</c:f>
              <c:numCache>
                <c:formatCode>0.00</c:formatCode>
                <c:ptCount val="2"/>
                <c:pt idx="0">
                  <c:v>0.01</c:v>
                </c:pt>
                <c:pt idx="1">
                  <c:v>-15.94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9-4545-BCC2-4BB952F93970}"/>
            </c:ext>
          </c:extLst>
        </c:ser>
        <c:ser>
          <c:idx val="0"/>
          <c:order val="1"/>
          <c:tx>
            <c:strRef>
              <c:f>'3 Elementos'!$I$52:$K$52</c:f>
              <c:strCache>
                <c:ptCount val="3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 Elementos'!$N$55:$O$55</c:f>
              <c:strCache>
                <c:ptCount val="2"/>
                <c:pt idx="0">
                  <c:v>SpeedUp Pro (X)</c:v>
                </c:pt>
                <c:pt idx="1">
                  <c:v>SpeedUp MP (X)</c:v>
                </c:pt>
              </c:strCache>
            </c:strRef>
          </c:cat>
          <c:val>
            <c:numRef>
              <c:f>'3 Elementos'!$N$52:$O$52</c:f>
              <c:numCache>
                <c:formatCode>0.00</c:formatCode>
                <c:ptCount val="2"/>
                <c:pt idx="0">
                  <c:v>0.48775510204081646</c:v>
                </c:pt>
                <c:pt idx="1">
                  <c:v>-11.463265306122448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F9-4545-BCC2-4BB952F93970}"/>
            </c:ext>
          </c:extLst>
        </c:ser>
        <c:ser>
          <c:idx val="2"/>
          <c:order val="2"/>
          <c:tx>
            <c:strRef>
              <c:f>'3 Elementos'!$I$54:$K$54</c:f>
              <c:strCache>
                <c:ptCount val="3"/>
                <c:pt idx="0">
                  <c:v>MAXIMO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 Elementos'!$N$55:$O$55</c:f>
              <c:strCache>
                <c:ptCount val="2"/>
                <c:pt idx="0">
                  <c:v>SpeedUp Pro (X)</c:v>
                </c:pt>
                <c:pt idx="1">
                  <c:v>SpeedUp MP (X)</c:v>
                </c:pt>
              </c:strCache>
            </c:strRef>
          </c:cat>
          <c:val>
            <c:numRef>
              <c:f>'3 Elementos'!$N$54:$O$54</c:f>
              <c:numCache>
                <c:formatCode>0.00</c:formatCode>
                <c:ptCount val="2"/>
                <c:pt idx="0">
                  <c:v>1</c:v>
                </c:pt>
                <c:pt idx="1">
                  <c:v>-10.66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F9-4545-BCC2-4BB952F93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447136"/>
        <c:axId val="488450016"/>
      </c:barChart>
      <c:catAx>
        <c:axId val="48844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50016"/>
        <c:crosses val="autoZero"/>
        <c:auto val="1"/>
        <c:lblAlgn val="ctr"/>
        <c:lblOffset val="100"/>
        <c:noMultiLvlLbl val="0"/>
      </c:catAx>
      <c:valAx>
        <c:axId val="4884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Comparativa Perdida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'5 Elementos'!$D$2</c:f>
              <c:strCache>
                <c:ptCount val="1"/>
                <c:pt idx="0">
                  <c:v>Perdida Phi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'5 Elementos'!$D$3:$D$51</c:f>
              <c:numCache>
                <c:formatCode>0.00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D-450C-9701-62AE500927C6}"/>
            </c:ext>
          </c:extLst>
        </c:ser>
        <c:ser>
          <c:idx val="2"/>
          <c:order val="1"/>
          <c:tx>
            <c:strRef>
              <c:f>'5 Elementos'!$G$2</c:f>
              <c:strCache>
                <c:ptCount val="1"/>
                <c:pt idx="0">
                  <c:v>Perdida 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'5 Elementos'!$G$3:$G$51</c:f>
              <c:numCache>
                <c:formatCode>0.00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0.5</c:v>
                </c:pt>
                <c:pt idx="29">
                  <c:v>0.5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CD-450C-9701-62AE500927C6}"/>
            </c:ext>
          </c:extLst>
        </c:ser>
        <c:ser>
          <c:idx val="3"/>
          <c:order val="2"/>
          <c:tx>
            <c:strRef>
              <c:f>'5 Elementos'!$J$2</c:f>
              <c:strCache>
                <c:ptCount val="1"/>
                <c:pt idx="0">
                  <c:v>Perdida 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'5 Elementos'!$J$3:$J$51</c:f>
              <c:numCache>
                <c:formatCode>0.00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0.5</c:v>
                </c:pt>
                <c:pt idx="29">
                  <c:v>0.5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CD-450C-9701-62AE50092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255296"/>
        <c:axId val="599246176"/>
      </c:barChart>
      <c:catAx>
        <c:axId val="59925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46176"/>
        <c:crosses val="autoZero"/>
        <c:auto val="1"/>
        <c:lblAlgn val="ctr"/>
        <c:lblOffset val="100"/>
        <c:noMultiLvlLbl val="0"/>
      </c:catAx>
      <c:valAx>
        <c:axId val="5992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Comparativa Tiempo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'5 Elementos'!$E$2</c:f>
              <c:strCache>
                <c:ptCount val="1"/>
                <c:pt idx="0">
                  <c:v>Tiempo Phi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'5 Elementos'!$E$3:$E$51</c:f>
              <c:numCache>
                <c:formatCode>0.00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0.02</c:v>
                </c:pt>
                <c:pt idx="5">
                  <c:v>0.06</c:v>
                </c:pt>
                <c:pt idx="6">
                  <c:v>0.27</c:v>
                </c:pt>
                <c:pt idx="7">
                  <c:v>0.01</c:v>
                </c:pt>
                <c:pt idx="8">
                  <c:v>0</c:v>
                </c:pt>
                <c:pt idx="9">
                  <c:v>0</c:v>
                </c:pt>
                <c:pt idx="10">
                  <c:v>0.01</c:v>
                </c:pt>
                <c:pt idx="11">
                  <c:v>0.02</c:v>
                </c:pt>
                <c:pt idx="12">
                  <c:v>7.0000000000000007E-2</c:v>
                </c:pt>
                <c:pt idx="13">
                  <c:v>0.21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7.0000000000000007E-2</c:v>
                </c:pt>
                <c:pt idx="20">
                  <c:v>0.26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0.01</c:v>
                </c:pt>
                <c:pt idx="25">
                  <c:v>0.02</c:v>
                </c:pt>
                <c:pt idx="26">
                  <c:v>0.05</c:v>
                </c:pt>
                <c:pt idx="27">
                  <c:v>0.2</c:v>
                </c:pt>
                <c:pt idx="28">
                  <c:v>0.02</c:v>
                </c:pt>
                <c:pt idx="29">
                  <c:v>0.01</c:v>
                </c:pt>
                <c:pt idx="30">
                  <c:v>0</c:v>
                </c:pt>
                <c:pt idx="31">
                  <c:v>0.01</c:v>
                </c:pt>
                <c:pt idx="32">
                  <c:v>0.02</c:v>
                </c:pt>
                <c:pt idx="33">
                  <c:v>0.06</c:v>
                </c:pt>
                <c:pt idx="34">
                  <c:v>0.22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0.01</c:v>
                </c:pt>
                <c:pt idx="39">
                  <c:v>0.02</c:v>
                </c:pt>
                <c:pt idx="40">
                  <c:v>0.06</c:v>
                </c:pt>
                <c:pt idx="41">
                  <c:v>0.23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0.02</c:v>
                </c:pt>
                <c:pt idx="47">
                  <c:v>0.06</c:v>
                </c:pt>
                <c:pt idx="48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6-459B-BA99-C8FE8EA96A19}"/>
            </c:ext>
          </c:extLst>
        </c:ser>
        <c:ser>
          <c:idx val="2"/>
          <c:order val="1"/>
          <c:tx>
            <c:strRef>
              <c:f>'5 Elementos'!$H$2</c:f>
              <c:strCache>
                <c:ptCount val="1"/>
                <c:pt idx="0">
                  <c:v>Tiempo 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'5 Elementos'!$H$3:$H$51</c:f>
              <c:numCache>
                <c:formatCode>0.00</c:formatCode>
                <c:ptCount val="49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0.01</c:v>
                </c:pt>
                <c:pt idx="43">
                  <c:v>0.01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D6-459B-BA99-C8FE8EA96A19}"/>
            </c:ext>
          </c:extLst>
        </c:ser>
        <c:ser>
          <c:idx val="3"/>
          <c:order val="2"/>
          <c:tx>
            <c:strRef>
              <c:f>'5 Elementos'!$K$2</c:f>
              <c:strCache>
                <c:ptCount val="1"/>
                <c:pt idx="0">
                  <c:v>Tiempo 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'5 Elementos'!$K$3:$K$51</c:f>
              <c:numCache>
                <c:formatCode>0.00</c:formatCode>
                <c:ptCount val="49"/>
                <c:pt idx="0">
                  <c:v>14.75</c:v>
                </c:pt>
                <c:pt idx="1">
                  <c:v>13.26</c:v>
                </c:pt>
                <c:pt idx="2">
                  <c:v>12.15</c:v>
                </c:pt>
                <c:pt idx="3">
                  <c:v>12.41</c:v>
                </c:pt>
                <c:pt idx="4">
                  <c:v>12.68</c:v>
                </c:pt>
                <c:pt idx="5">
                  <c:v>13.22</c:v>
                </c:pt>
                <c:pt idx="6">
                  <c:v>12.73</c:v>
                </c:pt>
                <c:pt idx="7">
                  <c:v>13.64</c:v>
                </c:pt>
                <c:pt idx="8">
                  <c:v>12.99</c:v>
                </c:pt>
                <c:pt idx="9">
                  <c:v>12.75</c:v>
                </c:pt>
                <c:pt idx="10">
                  <c:v>13.08</c:v>
                </c:pt>
                <c:pt idx="11">
                  <c:v>12.94</c:v>
                </c:pt>
                <c:pt idx="12">
                  <c:v>12.05</c:v>
                </c:pt>
                <c:pt idx="13">
                  <c:v>12.59</c:v>
                </c:pt>
                <c:pt idx="14">
                  <c:v>12.66</c:v>
                </c:pt>
                <c:pt idx="15">
                  <c:v>12.6</c:v>
                </c:pt>
                <c:pt idx="16">
                  <c:v>12.39</c:v>
                </c:pt>
                <c:pt idx="17">
                  <c:v>12.04</c:v>
                </c:pt>
                <c:pt idx="18">
                  <c:v>12.57</c:v>
                </c:pt>
                <c:pt idx="19">
                  <c:v>12.71</c:v>
                </c:pt>
                <c:pt idx="20">
                  <c:v>12.9</c:v>
                </c:pt>
                <c:pt idx="21">
                  <c:v>12.66</c:v>
                </c:pt>
                <c:pt idx="22">
                  <c:v>11.74</c:v>
                </c:pt>
                <c:pt idx="23">
                  <c:v>11.71</c:v>
                </c:pt>
                <c:pt idx="24">
                  <c:v>13</c:v>
                </c:pt>
                <c:pt idx="25">
                  <c:v>12.69</c:v>
                </c:pt>
                <c:pt idx="26">
                  <c:v>9.4700000000000006</c:v>
                </c:pt>
                <c:pt idx="27">
                  <c:v>12.22</c:v>
                </c:pt>
                <c:pt idx="28">
                  <c:v>12.13</c:v>
                </c:pt>
                <c:pt idx="29">
                  <c:v>11.89</c:v>
                </c:pt>
                <c:pt idx="30">
                  <c:v>13.24</c:v>
                </c:pt>
                <c:pt idx="31">
                  <c:v>12.82</c:v>
                </c:pt>
                <c:pt idx="32">
                  <c:v>11.85</c:v>
                </c:pt>
                <c:pt idx="33">
                  <c:v>12.3</c:v>
                </c:pt>
                <c:pt idx="34">
                  <c:v>9.91</c:v>
                </c:pt>
                <c:pt idx="35">
                  <c:v>13.87</c:v>
                </c:pt>
                <c:pt idx="36">
                  <c:v>12.87</c:v>
                </c:pt>
                <c:pt idx="37">
                  <c:v>12.37</c:v>
                </c:pt>
                <c:pt idx="38">
                  <c:v>13.85</c:v>
                </c:pt>
                <c:pt idx="39">
                  <c:v>14.08</c:v>
                </c:pt>
                <c:pt idx="40">
                  <c:v>10.92</c:v>
                </c:pt>
                <c:pt idx="41">
                  <c:v>13.22</c:v>
                </c:pt>
                <c:pt idx="42">
                  <c:v>11.56</c:v>
                </c:pt>
                <c:pt idx="43">
                  <c:v>12.53</c:v>
                </c:pt>
                <c:pt idx="44">
                  <c:v>12.61</c:v>
                </c:pt>
                <c:pt idx="45">
                  <c:v>11.61</c:v>
                </c:pt>
                <c:pt idx="46">
                  <c:v>11.7</c:v>
                </c:pt>
                <c:pt idx="47">
                  <c:v>11.77</c:v>
                </c:pt>
                <c:pt idx="48">
                  <c:v>11.64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D6-459B-BA99-C8FE8EA96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255296"/>
        <c:axId val="599246176"/>
      </c:barChart>
      <c:catAx>
        <c:axId val="59925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46176"/>
        <c:crosses val="autoZero"/>
        <c:auto val="1"/>
        <c:lblAlgn val="ctr"/>
        <c:lblOffset val="100"/>
        <c:noMultiLvlLbl val="0"/>
      </c:catAx>
      <c:valAx>
        <c:axId val="5992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</a:t>
            </a:r>
            <a:r>
              <a:rPr lang="es-ES" baseline="0"/>
              <a:t> de Perdida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'5 Elementos'!$I$53:$K$53</c:f>
              <c:strCache>
                <c:ptCount val="3"/>
                <c:pt idx="0">
                  <c:v>MINIMO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 Elementos'!$L$55:$M$55</c:f>
              <c:strCache>
                <c:ptCount val="2"/>
                <c:pt idx="0">
                  <c:v>% Perdida Pro</c:v>
                </c:pt>
                <c:pt idx="1">
                  <c:v>% Perdida MP</c:v>
                </c:pt>
              </c:strCache>
            </c:strRef>
          </c:cat>
          <c:val>
            <c:numRef>
              <c:f>'5 Elementos'!$L$53:$M$53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7-482F-917E-3473EEAA44CC}"/>
            </c:ext>
          </c:extLst>
        </c:ser>
        <c:ser>
          <c:idx val="0"/>
          <c:order val="1"/>
          <c:tx>
            <c:strRef>
              <c:f>'5 Elementos'!$I$52:$K$52</c:f>
              <c:strCache>
                <c:ptCount val="3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 Elementos'!$L$55:$M$55</c:f>
              <c:strCache>
                <c:ptCount val="2"/>
                <c:pt idx="0">
                  <c:v>% Perdida Pro</c:v>
                </c:pt>
                <c:pt idx="1">
                  <c:v>% Perdida MP</c:v>
                </c:pt>
              </c:strCache>
            </c:strRef>
          </c:cat>
          <c:val>
            <c:numRef>
              <c:f>'5 Elementos'!$L$52:$M$52</c:f>
              <c:numCache>
                <c:formatCode>0.00%</c:formatCode>
                <c:ptCount val="2"/>
                <c:pt idx="0">
                  <c:v>1.7959183673469388E-2</c:v>
                </c:pt>
                <c:pt idx="1">
                  <c:v>1.7959183673469388E-2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07-482F-917E-3473EEAA44CC}"/>
            </c:ext>
          </c:extLst>
        </c:ser>
        <c:ser>
          <c:idx val="2"/>
          <c:order val="2"/>
          <c:tx>
            <c:strRef>
              <c:f>'5 Elementos'!$I$54:$K$54</c:f>
              <c:strCache>
                <c:ptCount val="3"/>
                <c:pt idx="0">
                  <c:v>MAXIMO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 Elementos'!$L$55:$M$55</c:f>
              <c:strCache>
                <c:ptCount val="2"/>
                <c:pt idx="0">
                  <c:v>% Perdida Pro</c:v>
                </c:pt>
                <c:pt idx="1">
                  <c:v>% Perdida MP</c:v>
                </c:pt>
              </c:strCache>
            </c:strRef>
          </c:cat>
          <c:val>
            <c:numRef>
              <c:f>'5 Elementos'!$L$54:$M$54</c:f>
              <c:numCache>
                <c:formatCode>0.00%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07-482F-917E-3473EEAA4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447136"/>
        <c:axId val="488450016"/>
      </c:barChart>
      <c:catAx>
        <c:axId val="48844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50016"/>
        <c:crosses val="autoZero"/>
        <c:auto val="1"/>
        <c:lblAlgn val="ctr"/>
        <c:lblOffset val="100"/>
        <c:noMultiLvlLbl val="0"/>
      </c:catAx>
      <c:valAx>
        <c:axId val="4884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</a:t>
            </a:r>
            <a:r>
              <a:rPr lang="es-ES" baseline="0"/>
              <a:t> de SpeedUp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'5 Elementos'!$I$53:$K$53</c:f>
              <c:strCache>
                <c:ptCount val="3"/>
                <c:pt idx="0">
                  <c:v>MINIMO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 Elementos'!$N$55:$O$55</c:f>
              <c:strCache>
                <c:ptCount val="2"/>
                <c:pt idx="0">
                  <c:v>SpeedUp Pro (X)</c:v>
                </c:pt>
                <c:pt idx="1">
                  <c:v>SpeedUp MP (X)</c:v>
                </c:pt>
              </c:strCache>
            </c:strRef>
          </c:cat>
          <c:val>
            <c:numRef>
              <c:f>'5 Elementos'!$N$53:$O$53</c:f>
              <c:numCache>
                <c:formatCode>0.00</c:formatCode>
                <c:ptCount val="2"/>
                <c:pt idx="0">
                  <c:v>-0.01</c:v>
                </c:pt>
                <c:pt idx="1">
                  <c:v>-1475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D-45D9-8C0F-785E2FEBDE86}"/>
            </c:ext>
          </c:extLst>
        </c:ser>
        <c:ser>
          <c:idx val="0"/>
          <c:order val="1"/>
          <c:tx>
            <c:strRef>
              <c:f>'5 Elementos'!$I$52:$K$52</c:f>
              <c:strCache>
                <c:ptCount val="3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 Elementos'!$N$55:$O$55</c:f>
              <c:strCache>
                <c:ptCount val="2"/>
                <c:pt idx="0">
                  <c:v>SpeedUp Pro (X)</c:v>
                </c:pt>
                <c:pt idx="1">
                  <c:v>SpeedUp MP (X)</c:v>
                </c:pt>
              </c:strCache>
            </c:strRef>
          </c:cat>
          <c:val>
            <c:numRef>
              <c:f>'5 Elementos'!$N$52:$O$52</c:f>
              <c:numCache>
                <c:formatCode>0.00</c:formatCode>
                <c:ptCount val="2"/>
                <c:pt idx="0">
                  <c:v>0.33061224489795915</c:v>
                </c:pt>
                <c:pt idx="1">
                  <c:v>-170.12877551020415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CD-45D9-8C0F-785E2FEBDE86}"/>
            </c:ext>
          </c:extLst>
        </c:ser>
        <c:ser>
          <c:idx val="2"/>
          <c:order val="2"/>
          <c:tx>
            <c:strRef>
              <c:f>'5 Elementos'!$I$54:$K$54</c:f>
              <c:strCache>
                <c:ptCount val="3"/>
                <c:pt idx="0">
                  <c:v>MAXIMO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 Elementos'!$N$55:$O$55</c:f>
              <c:strCache>
                <c:ptCount val="2"/>
                <c:pt idx="0">
                  <c:v>SpeedUp Pro (X)</c:v>
                </c:pt>
                <c:pt idx="1">
                  <c:v>SpeedUp MP (X)</c:v>
                </c:pt>
              </c:strCache>
            </c:strRef>
          </c:cat>
          <c:val>
            <c:numRef>
              <c:f>'5 Elementos'!$N$54:$O$54</c:f>
              <c:numCache>
                <c:formatCode>0.00</c:formatCode>
                <c:ptCount val="2"/>
                <c:pt idx="0">
                  <c:v>1</c:v>
                </c:pt>
                <c:pt idx="1">
                  <c:v>-9.4700000000000006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CD-45D9-8C0F-785E2FEBD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447136"/>
        <c:axId val="488450016"/>
      </c:barChart>
      <c:catAx>
        <c:axId val="48844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50016"/>
        <c:crosses val="autoZero"/>
        <c:auto val="1"/>
        <c:lblAlgn val="ctr"/>
        <c:lblOffset val="100"/>
        <c:noMultiLvlLbl val="0"/>
      </c:catAx>
      <c:valAx>
        <c:axId val="4884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Comparativa Perdida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'10 Elementos'!$D$2</c:f>
              <c:strCache>
                <c:ptCount val="1"/>
                <c:pt idx="0">
                  <c:v>Perdida Phi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'10 Elementos'!$D$3:$D$51</c:f>
              <c:numCache>
                <c:formatCode>0.00</c:formatCode>
                <c:ptCount val="49"/>
                <c:pt idx="0">
                  <c:v>0.47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0.02</c:v>
                </c:pt>
                <c:pt idx="5">
                  <c:v>0</c:v>
                </c:pt>
                <c:pt idx="6">
                  <c:v>0.01</c:v>
                </c:pt>
                <c:pt idx="7">
                  <c:v>0.47</c:v>
                </c:pt>
                <c:pt idx="8">
                  <c:v>0</c:v>
                </c:pt>
                <c:pt idx="9">
                  <c:v>0</c:v>
                </c:pt>
                <c:pt idx="10">
                  <c:v>0.01</c:v>
                </c:pt>
                <c:pt idx="11">
                  <c:v>0.02</c:v>
                </c:pt>
                <c:pt idx="12">
                  <c:v>0</c:v>
                </c:pt>
                <c:pt idx="13">
                  <c:v>0.02</c:v>
                </c:pt>
                <c:pt idx="14">
                  <c:v>0.47</c:v>
                </c:pt>
                <c:pt idx="15">
                  <c:v>0</c:v>
                </c:pt>
                <c:pt idx="16">
                  <c:v>0</c:v>
                </c:pt>
                <c:pt idx="17">
                  <c:v>0.01</c:v>
                </c:pt>
                <c:pt idx="18">
                  <c:v>0.02</c:v>
                </c:pt>
                <c:pt idx="19">
                  <c:v>0</c:v>
                </c:pt>
                <c:pt idx="20">
                  <c:v>0.01</c:v>
                </c:pt>
                <c:pt idx="21">
                  <c:v>0.47</c:v>
                </c:pt>
                <c:pt idx="22">
                  <c:v>0</c:v>
                </c:pt>
                <c:pt idx="23">
                  <c:v>0</c:v>
                </c:pt>
                <c:pt idx="24">
                  <c:v>0.01</c:v>
                </c:pt>
                <c:pt idx="25">
                  <c:v>0.02</c:v>
                </c:pt>
                <c:pt idx="26">
                  <c:v>0</c:v>
                </c:pt>
                <c:pt idx="27">
                  <c:v>0.02</c:v>
                </c:pt>
                <c:pt idx="28">
                  <c:v>0.47</c:v>
                </c:pt>
                <c:pt idx="29">
                  <c:v>0</c:v>
                </c:pt>
                <c:pt idx="30">
                  <c:v>0</c:v>
                </c:pt>
                <c:pt idx="31">
                  <c:v>0.02</c:v>
                </c:pt>
                <c:pt idx="32">
                  <c:v>0.02</c:v>
                </c:pt>
                <c:pt idx="33">
                  <c:v>0</c:v>
                </c:pt>
                <c:pt idx="34">
                  <c:v>0.02</c:v>
                </c:pt>
                <c:pt idx="35">
                  <c:v>0.48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0.02</c:v>
                </c:pt>
                <c:pt idx="40">
                  <c:v>0.02</c:v>
                </c:pt>
                <c:pt idx="41">
                  <c:v>0.01</c:v>
                </c:pt>
                <c:pt idx="42">
                  <c:v>0.48</c:v>
                </c:pt>
                <c:pt idx="43">
                  <c:v>0</c:v>
                </c:pt>
                <c:pt idx="44">
                  <c:v>0</c:v>
                </c:pt>
                <c:pt idx="45">
                  <c:v>0.01</c:v>
                </c:pt>
                <c:pt idx="46">
                  <c:v>0.02</c:v>
                </c:pt>
                <c:pt idx="47">
                  <c:v>0.02</c:v>
                </c:pt>
                <c:pt idx="48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D-4B93-B221-AFCA5075EC9C}"/>
            </c:ext>
          </c:extLst>
        </c:ser>
        <c:ser>
          <c:idx val="2"/>
          <c:order val="1"/>
          <c:tx>
            <c:strRef>
              <c:f>'10 Elementos'!$G$2</c:f>
              <c:strCache>
                <c:ptCount val="1"/>
                <c:pt idx="0">
                  <c:v>Perdida 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'10 Elementos'!$G$3:$G$51</c:f>
              <c:numCache>
                <c:formatCode>0.00</c:formatCode>
                <c:ptCount val="49"/>
                <c:pt idx="0">
                  <c:v>0.47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0.02</c:v>
                </c:pt>
                <c:pt idx="5">
                  <c:v>0</c:v>
                </c:pt>
                <c:pt idx="6">
                  <c:v>0.01</c:v>
                </c:pt>
                <c:pt idx="7">
                  <c:v>0.47</c:v>
                </c:pt>
                <c:pt idx="8">
                  <c:v>0</c:v>
                </c:pt>
                <c:pt idx="9">
                  <c:v>0</c:v>
                </c:pt>
                <c:pt idx="10">
                  <c:v>0.01</c:v>
                </c:pt>
                <c:pt idx="11">
                  <c:v>0.02</c:v>
                </c:pt>
                <c:pt idx="12">
                  <c:v>0</c:v>
                </c:pt>
                <c:pt idx="13">
                  <c:v>0.02</c:v>
                </c:pt>
                <c:pt idx="14">
                  <c:v>0.47</c:v>
                </c:pt>
                <c:pt idx="15">
                  <c:v>0</c:v>
                </c:pt>
                <c:pt idx="16">
                  <c:v>0</c:v>
                </c:pt>
                <c:pt idx="17">
                  <c:v>0.01</c:v>
                </c:pt>
                <c:pt idx="18">
                  <c:v>0.02</c:v>
                </c:pt>
                <c:pt idx="19">
                  <c:v>0</c:v>
                </c:pt>
                <c:pt idx="20">
                  <c:v>0.01</c:v>
                </c:pt>
                <c:pt idx="21">
                  <c:v>0.47</c:v>
                </c:pt>
                <c:pt idx="22">
                  <c:v>0</c:v>
                </c:pt>
                <c:pt idx="23">
                  <c:v>0</c:v>
                </c:pt>
                <c:pt idx="24">
                  <c:v>0.01</c:v>
                </c:pt>
                <c:pt idx="25">
                  <c:v>0.02</c:v>
                </c:pt>
                <c:pt idx="26">
                  <c:v>0</c:v>
                </c:pt>
                <c:pt idx="27">
                  <c:v>0.02</c:v>
                </c:pt>
                <c:pt idx="28">
                  <c:v>0.47</c:v>
                </c:pt>
                <c:pt idx="29">
                  <c:v>0</c:v>
                </c:pt>
                <c:pt idx="30">
                  <c:v>0</c:v>
                </c:pt>
                <c:pt idx="31">
                  <c:v>0.02</c:v>
                </c:pt>
                <c:pt idx="32">
                  <c:v>0.02</c:v>
                </c:pt>
                <c:pt idx="33">
                  <c:v>0</c:v>
                </c:pt>
                <c:pt idx="34">
                  <c:v>0.02</c:v>
                </c:pt>
                <c:pt idx="35">
                  <c:v>0.49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0.02</c:v>
                </c:pt>
                <c:pt idx="40">
                  <c:v>0.02</c:v>
                </c:pt>
                <c:pt idx="41">
                  <c:v>0.01</c:v>
                </c:pt>
                <c:pt idx="42">
                  <c:v>0.48</c:v>
                </c:pt>
                <c:pt idx="43">
                  <c:v>0</c:v>
                </c:pt>
                <c:pt idx="44">
                  <c:v>0</c:v>
                </c:pt>
                <c:pt idx="45">
                  <c:v>0.01</c:v>
                </c:pt>
                <c:pt idx="46">
                  <c:v>0.02</c:v>
                </c:pt>
                <c:pt idx="47">
                  <c:v>0.02</c:v>
                </c:pt>
                <c:pt idx="48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7D-4B93-B221-AFCA5075EC9C}"/>
            </c:ext>
          </c:extLst>
        </c:ser>
        <c:ser>
          <c:idx val="3"/>
          <c:order val="2"/>
          <c:tx>
            <c:strRef>
              <c:f>'10 Elementos'!$J$2</c:f>
              <c:strCache>
                <c:ptCount val="1"/>
                <c:pt idx="0">
                  <c:v>Perdida 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'10 Elementos'!$J$3:$J$51</c:f>
              <c:numCache>
                <c:formatCode>0.00</c:formatCode>
                <c:ptCount val="49"/>
                <c:pt idx="0">
                  <c:v>0.47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0.02</c:v>
                </c:pt>
                <c:pt idx="5">
                  <c:v>0</c:v>
                </c:pt>
                <c:pt idx="6">
                  <c:v>0.01</c:v>
                </c:pt>
                <c:pt idx="7">
                  <c:v>0.47</c:v>
                </c:pt>
                <c:pt idx="8">
                  <c:v>0</c:v>
                </c:pt>
                <c:pt idx="9">
                  <c:v>0</c:v>
                </c:pt>
                <c:pt idx="10">
                  <c:v>0.01</c:v>
                </c:pt>
                <c:pt idx="11">
                  <c:v>0.02</c:v>
                </c:pt>
                <c:pt idx="12">
                  <c:v>0</c:v>
                </c:pt>
                <c:pt idx="13">
                  <c:v>0.02</c:v>
                </c:pt>
                <c:pt idx="14">
                  <c:v>0.47</c:v>
                </c:pt>
                <c:pt idx="15">
                  <c:v>0</c:v>
                </c:pt>
                <c:pt idx="16">
                  <c:v>0</c:v>
                </c:pt>
                <c:pt idx="17">
                  <c:v>0.01</c:v>
                </c:pt>
                <c:pt idx="18">
                  <c:v>0.02</c:v>
                </c:pt>
                <c:pt idx="19">
                  <c:v>0</c:v>
                </c:pt>
                <c:pt idx="20">
                  <c:v>0.01</c:v>
                </c:pt>
                <c:pt idx="21">
                  <c:v>0.47</c:v>
                </c:pt>
                <c:pt idx="22">
                  <c:v>0</c:v>
                </c:pt>
                <c:pt idx="23">
                  <c:v>0</c:v>
                </c:pt>
                <c:pt idx="24">
                  <c:v>0.01</c:v>
                </c:pt>
                <c:pt idx="25">
                  <c:v>0.02</c:v>
                </c:pt>
                <c:pt idx="26">
                  <c:v>0</c:v>
                </c:pt>
                <c:pt idx="27">
                  <c:v>0.02</c:v>
                </c:pt>
                <c:pt idx="28">
                  <c:v>0.47</c:v>
                </c:pt>
                <c:pt idx="29">
                  <c:v>0</c:v>
                </c:pt>
                <c:pt idx="30">
                  <c:v>0</c:v>
                </c:pt>
                <c:pt idx="31">
                  <c:v>0.02</c:v>
                </c:pt>
                <c:pt idx="32">
                  <c:v>0.02</c:v>
                </c:pt>
                <c:pt idx="33">
                  <c:v>0</c:v>
                </c:pt>
                <c:pt idx="34">
                  <c:v>0.02</c:v>
                </c:pt>
                <c:pt idx="35">
                  <c:v>0.49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0.02</c:v>
                </c:pt>
                <c:pt idx="40">
                  <c:v>0.02</c:v>
                </c:pt>
                <c:pt idx="41">
                  <c:v>0.01</c:v>
                </c:pt>
                <c:pt idx="42">
                  <c:v>0.48</c:v>
                </c:pt>
                <c:pt idx="43">
                  <c:v>0</c:v>
                </c:pt>
                <c:pt idx="44">
                  <c:v>0</c:v>
                </c:pt>
                <c:pt idx="45">
                  <c:v>0.01</c:v>
                </c:pt>
                <c:pt idx="46">
                  <c:v>0.02</c:v>
                </c:pt>
                <c:pt idx="47">
                  <c:v>0.02</c:v>
                </c:pt>
                <c:pt idx="48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7D-4B93-B221-AFCA5075E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255296"/>
        <c:axId val="599246176"/>
      </c:barChart>
      <c:catAx>
        <c:axId val="59925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46176"/>
        <c:crosses val="autoZero"/>
        <c:auto val="1"/>
        <c:lblAlgn val="ctr"/>
        <c:lblOffset val="100"/>
        <c:noMultiLvlLbl val="0"/>
      </c:catAx>
      <c:valAx>
        <c:axId val="5992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Comparativa Tiempo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'10 Elementos'!$E$2</c:f>
              <c:strCache>
                <c:ptCount val="1"/>
                <c:pt idx="0">
                  <c:v>Tiempo Phi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'10 Elementos'!$E$3:$E$51</c:f>
              <c:numCache>
                <c:formatCode>0.00</c:formatCode>
                <c:ptCount val="49"/>
                <c:pt idx="0">
                  <c:v>114.3</c:v>
                </c:pt>
                <c:pt idx="1">
                  <c:v>56.06</c:v>
                </c:pt>
                <c:pt idx="2">
                  <c:v>56.05</c:v>
                </c:pt>
                <c:pt idx="3">
                  <c:v>28.71</c:v>
                </c:pt>
                <c:pt idx="4">
                  <c:v>3.46</c:v>
                </c:pt>
                <c:pt idx="5">
                  <c:v>3.42</c:v>
                </c:pt>
                <c:pt idx="6">
                  <c:v>14.08</c:v>
                </c:pt>
                <c:pt idx="7">
                  <c:v>51.43</c:v>
                </c:pt>
                <c:pt idx="8">
                  <c:v>25.83</c:v>
                </c:pt>
                <c:pt idx="9">
                  <c:v>25.55</c:v>
                </c:pt>
                <c:pt idx="10">
                  <c:v>13.29</c:v>
                </c:pt>
                <c:pt idx="11">
                  <c:v>1.63</c:v>
                </c:pt>
                <c:pt idx="12">
                  <c:v>1.61</c:v>
                </c:pt>
                <c:pt idx="13">
                  <c:v>6.9</c:v>
                </c:pt>
                <c:pt idx="14">
                  <c:v>54.73</c:v>
                </c:pt>
                <c:pt idx="15">
                  <c:v>26.27</c:v>
                </c:pt>
                <c:pt idx="16">
                  <c:v>27.8</c:v>
                </c:pt>
                <c:pt idx="17">
                  <c:v>14</c:v>
                </c:pt>
                <c:pt idx="18">
                  <c:v>1.78</c:v>
                </c:pt>
                <c:pt idx="19">
                  <c:v>1.77</c:v>
                </c:pt>
                <c:pt idx="20">
                  <c:v>7.86</c:v>
                </c:pt>
                <c:pt idx="21">
                  <c:v>27.11</c:v>
                </c:pt>
                <c:pt idx="22">
                  <c:v>13.52</c:v>
                </c:pt>
                <c:pt idx="23">
                  <c:v>14.32</c:v>
                </c:pt>
                <c:pt idx="24">
                  <c:v>6.53</c:v>
                </c:pt>
                <c:pt idx="25">
                  <c:v>0.94</c:v>
                </c:pt>
                <c:pt idx="26">
                  <c:v>0.89</c:v>
                </c:pt>
                <c:pt idx="27">
                  <c:v>3.53</c:v>
                </c:pt>
                <c:pt idx="28">
                  <c:v>2.87</c:v>
                </c:pt>
                <c:pt idx="29">
                  <c:v>1.43</c:v>
                </c:pt>
                <c:pt idx="30">
                  <c:v>1.4</c:v>
                </c:pt>
                <c:pt idx="31">
                  <c:v>0.82</c:v>
                </c:pt>
                <c:pt idx="32">
                  <c:v>0.12</c:v>
                </c:pt>
                <c:pt idx="33">
                  <c:v>0.15</c:v>
                </c:pt>
                <c:pt idx="34">
                  <c:v>0.57999999999999996</c:v>
                </c:pt>
                <c:pt idx="35">
                  <c:v>2.82</c:v>
                </c:pt>
                <c:pt idx="36">
                  <c:v>1.43</c:v>
                </c:pt>
                <c:pt idx="37">
                  <c:v>1.45</c:v>
                </c:pt>
                <c:pt idx="38">
                  <c:v>0.87</c:v>
                </c:pt>
                <c:pt idx="39">
                  <c:v>0.12</c:v>
                </c:pt>
                <c:pt idx="40">
                  <c:v>0.17</c:v>
                </c:pt>
                <c:pt idx="41">
                  <c:v>0.67</c:v>
                </c:pt>
                <c:pt idx="42">
                  <c:v>11.75</c:v>
                </c:pt>
                <c:pt idx="43">
                  <c:v>5.8</c:v>
                </c:pt>
                <c:pt idx="44">
                  <c:v>5.8</c:v>
                </c:pt>
                <c:pt idx="45">
                  <c:v>2.87</c:v>
                </c:pt>
                <c:pt idx="46">
                  <c:v>0.38</c:v>
                </c:pt>
                <c:pt idx="47">
                  <c:v>0.43</c:v>
                </c:pt>
                <c:pt idx="48">
                  <c:v>1.72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A-46AF-ADB0-DBCABC0A50D0}"/>
            </c:ext>
          </c:extLst>
        </c:ser>
        <c:ser>
          <c:idx val="2"/>
          <c:order val="1"/>
          <c:tx>
            <c:strRef>
              <c:f>'10 Elementos'!$H$2</c:f>
              <c:strCache>
                <c:ptCount val="1"/>
                <c:pt idx="0">
                  <c:v>Tiempo 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'10 Elementos'!$H$3:$H$51</c:f>
              <c:numCache>
                <c:formatCode>0.00</c:formatCode>
                <c:ptCount val="49"/>
                <c:pt idx="0">
                  <c:v>0.11</c:v>
                </c:pt>
                <c:pt idx="1">
                  <c:v>0.05</c:v>
                </c:pt>
                <c:pt idx="2">
                  <c:v>0.05</c:v>
                </c:pt>
                <c:pt idx="3">
                  <c:v>0.03</c:v>
                </c:pt>
                <c:pt idx="4">
                  <c:v>0.01</c:v>
                </c:pt>
                <c:pt idx="5">
                  <c:v>0</c:v>
                </c:pt>
                <c:pt idx="6">
                  <c:v>0.01</c:v>
                </c:pt>
                <c:pt idx="7">
                  <c:v>0.1</c:v>
                </c:pt>
                <c:pt idx="8">
                  <c:v>0.05</c:v>
                </c:pt>
                <c:pt idx="9">
                  <c:v>0.11</c:v>
                </c:pt>
                <c:pt idx="10">
                  <c:v>0.03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0.1</c:v>
                </c:pt>
                <c:pt idx="15">
                  <c:v>0.05</c:v>
                </c:pt>
                <c:pt idx="16">
                  <c:v>0.11</c:v>
                </c:pt>
                <c:pt idx="17">
                  <c:v>0.02</c:v>
                </c:pt>
                <c:pt idx="18">
                  <c:v>0.01</c:v>
                </c:pt>
                <c:pt idx="19">
                  <c:v>0</c:v>
                </c:pt>
                <c:pt idx="20">
                  <c:v>0.01</c:v>
                </c:pt>
                <c:pt idx="21">
                  <c:v>0.09</c:v>
                </c:pt>
                <c:pt idx="22">
                  <c:v>0.04</c:v>
                </c:pt>
                <c:pt idx="23">
                  <c:v>0.04</c:v>
                </c:pt>
                <c:pt idx="24">
                  <c:v>0.02</c:v>
                </c:pt>
                <c:pt idx="25">
                  <c:v>0</c:v>
                </c:pt>
                <c:pt idx="26">
                  <c:v>0</c:v>
                </c:pt>
                <c:pt idx="27">
                  <c:v>0.01</c:v>
                </c:pt>
                <c:pt idx="28">
                  <c:v>7.0000000000000007E-2</c:v>
                </c:pt>
                <c:pt idx="29">
                  <c:v>0.03</c:v>
                </c:pt>
                <c:pt idx="30">
                  <c:v>0.03</c:v>
                </c:pt>
                <c:pt idx="31">
                  <c:v>0.01</c:v>
                </c:pt>
                <c:pt idx="32">
                  <c:v>0</c:v>
                </c:pt>
                <c:pt idx="33">
                  <c:v>0</c:v>
                </c:pt>
                <c:pt idx="34">
                  <c:v>0.01</c:v>
                </c:pt>
                <c:pt idx="35">
                  <c:v>0.05</c:v>
                </c:pt>
                <c:pt idx="36">
                  <c:v>0.03</c:v>
                </c:pt>
                <c:pt idx="37">
                  <c:v>0.03</c:v>
                </c:pt>
                <c:pt idx="38">
                  <c:v>0.01</c:v>
                </c:pt>
                <c:pt idx="39">
                  <c:v>0</c:v>
                </c:pt>
                <c:pt idx="40">
                  <c:v>0</c:v>
                </c:pt>
                <c:pt idx="41">
                  <c:v>0.01</c:v>
                </c:pt>
                <c:pt idx="42">
                  <c:v>0.08</c:v>
                </c:pt>
                <c:pt idx="43">
                  <c:v>0.04</c:v>
                </c:pt>
                <c:pt idx="44">
                  <c:v>0.09</c:v>
                </c:pt>
                <c:pt idx="45">
                  <c:v>0.02</c:v>
                </c:pt>
                <c:pt idx="46">
                  <c:v>0</c:v>
                </c:pt>
                <c:pt idx="47">
                  <c:v>0</c:v>
                </c:pt>
                <c:pt idx="48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CA-46AF-ADB0-DBCABC0A50D0}"/>
            </c:ext>
          </c:extLst>
        </c:ser>
        <c:ser>
          <c:idx val="3"/>
          <c:order val="2"/>
          <c:tx>
            <c:strRef>
              <c:f>'10 Elementos'!$K$2</c:f>
              <c:strCache>
                <c:ptCount val="1"/>
                <c:pt idx="0">
                  <c:v>Tiempo 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'10 Elementos'!$K$3:$K$51</c:f>
              <c:numCache>
                <c:formatCode>0.00</c:formatCode>
                <c:ptCount val="49"/>
                <c:pt idx="0">
                  <c:v>12.73</c:v>
                </c:pt>
                <c:pt idx="1">
                  <c:v>12.69</c:v>
                </c:pt>
                <c:pt idx="2">
                  <c:v>12.72</c:v>
                </c:pt>
                <c:pt idx="3">
                  <c:v>12.76</c:v>
                </c:pt>
                <c:pt idx="4">
                  <c:v>12.61</c:v>
                </c:pt>
                <c:pt idx="5">
                  <c:v>13.59</c:v>
                </c:pt>
                <c:pt idx="6">
                  <c:v>13.28</c:v>
                </c:pt>
                <c:pt idx="7">
                  <c:v>12.31</c:v>
                </c:pt>
                <c:pt idx="8">
                  <c:v>12.47</c:v>
                </c:pt>
                <c:pt idx="9">
                  <c:v>12.64</c:v>
                </c:pt>
                <c:pt idx="10">
                  <c:v>14.12</c:v>
                </c:pt>
                <c:pt idx="11">
                  <c:v>13.71</c:v>
                </c:pt>
                <c:pt idx="12">
                  <c:v>12.55</c:v>
                </c:pt>
                <c:pt idx="13">
                  <c:v>12.84</c:v>
                </c:pt>
                <c:pt idx="14">
                  <c:v>13.13</c:v>
                </c:pt>
                <c:pt idx="15">
                  <c:v>12.59</c:v>
                </c:pt>
                <c:pt idx="16">
                  <c:v>12.59</c:v>
                </c:pt>
                <c:pt idx="17">
                  <c:v>13.3</c:v>
                </c:pt>
                <c:pt idx="18">
                  <c:v>12.88</c:v>
                </c:pt>
                <c:pt idx="19">
                  <c:v>12.96</c:v>
                </c:pt>
                <c:pt idx="20">
                  <c:v>12.99</c:v>
                </c:pt>
                <c:pt idx="21">
                  <c:v>12.74</c:v>
                </c:pt>
                <c:pt idx="22">
                  <c:v>12.62</c:v>
                </c:pt>
                <c:pt idx="23">
                  <c:v>13.89</c:v>
                </c:pt>
                <c:pt idx="24">
                  <c:v>13.16</c:v>
                </c:pt>
                <c:pt idx="25">
                  <c:v>12.92</c:v>
                </c:pt>
                <c:pt idx="26">
                  <c:v>13.1</c:v>
                </c:pt>
                <c:pt idx="27">
                  <c:v>12.69</c:v>
                </c:pt>
                <c:pt idx="28">
                  <c:v>10.41</c:v>
                </c:pt>
                <c:pt idx="29">
                  <c:v>12.88</c:v>
                </c:pt>
                <c:pt idx="30">
                  <c:v>14.18</c:v>
                </c:pt>
                <c:pt idx="31">
                  <c:v>12.77</c:v>
                </c:pt>
                <c:pt idx="32">
                  <c:v>12.69</c:v>
                </c:pt>
                <c:pt idx="33">
                  <c:v>12.91</c:v>
                </c:pt>
                <c:pt idx="34">
                  <c:v>12.98</c:v>
                </c:pt>
                <c:pt idx="35">
                  <c:v>12.52</c:v>
                </c:pt>
                <c:pt idx="36">
                  <c:v>13.15</c:v>
                </c:pt>
                <c:pt idx="37">
                  <c:v>12.86</c:v>
                </c:pt>
                <c:pt idx="38">
                  <c:v>10.23</c:v>
                </c:pt>
                <c:pt idx="39">
                  <c:v>13.07</c:v>
                </c:pt>
                <c:pt idx="40">
                  <c:v>12.63</c:v>
                </c:pt>
                <c:pt idx="41">
                  <c:v>9.75</c:v>
                </c:pt>
                <c:pt idx="42">
                  <c:v>12.36</c:v>
                </c:pt>
                <c:pt idx="43">
                  <c:v>12.13</c:v>
                </c:pt>
                <c:pt idx="44">
                  <c:v>12.16</c:v>
                </c:pt>
                <c:pt idx="45">
                  <c:v>12.27</c:v>
                </c:pt>
                <c:pt idx="46">
                  <c:v>12.35</c:v>
                </c:pt>
                <c:pt idx="47">
                  <c:v>12.3</c:v>
                </c:pt>
                <c:pt idx="48">
                  <c:v>12.26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CA-46AF-ADB0-DBCABC0A5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255296"/>
        <c:axId val="599246176"/>
      </c:barChart>
      <c:catAx>
        <c:axId val="59925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46176"/>
        <c:crosses val="autoZero"/>
        <c:auto val="1"/>
        <c:lblAlgn val="ctr"/>
        <c:lblOffset val="100"/>
        <c:noMultiLvlLbl val="0"/>
      </c:catAx>
      <c:valAx>
        <c:axId val="5992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</a:t>
            </a:r>
            <a:r>
              <a:rPr lang="es-ES" baseline="0"/>
              <a:t> de Perdida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'10 Elementos'!$I$53:$K$53</c:f>
              <c:strCache>
                <c:ptCount val="3"/>
                <c:pt idx="0">
                  <c:v>MINIMO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 Elementos'!$L$55:$M$55</c:f>
              <c:strCache>
                <c:ptCount val="2"/>
                <c:pt idx="0">
                  <c:v>% Perdida Pro</c:v>
                </c:pt>
                <c:pt idx="1">
                  <c:v>% Perdida MP</c:v>
                </c:pt>
              </c:strCache>
            </c:strRef>
          </c:cat>
          <c:val>
            <c:numRef>
              <c:f>'10 Elementos'!$L$53:$M$53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F-4493-BE54-D72BC1936F12}"/>
            </c:ext>
          </c:extLst>
        </c:ser>
        <c:ser>
          <c:idx val="0"/>
          <c:order val="1"/>
          <c:tx>
            <c:strRef>
              <c:f>'10 Elementos'!$I$52:$K$52</c:f>
              <c:strCache>
                <c:ptCount val="3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 Elementos'!$L$55:$M$55</c:f>
              <c:strCache>
                <c:ptCount val="2"/>
                <c:pt idx="0">
                  <c:v>% Perdida Pro</c:v>
                </c:pt>
                <c:pt idx="1">
                  <c:v>% Perdida MP</c:v>
                </c:pt>
              </c:strCache>
            </c:strRef>
          </c:cat>
          <c:val>
            <c:numRef>
              <c:f>'10 Elementos'!$L$52:$M$52</c:f>
              <c:numCache>
                <c:formatCode>0.00%</c:formatCode>
                <c:ptCount val="2"/>
                <c:pt idx="0">
                  <c:v>4.251700680272113E-4</c:v>
                </c:pt>
                <c:pt idx="1">
                  <c:v>4.251700680272113E-4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BF-4493-BE54-D72BC1936F12}"/>
            </c:ext>
          </c:extLst>
        </c:ser>
        <c:ser>
          <c:idx val="2"/>
          <c:order val="2"/>
          <c:tx>
            <c:strRef>
              <c:f>'10 Elementos'!$I$54:$K$54</c:f>
              <c:strCache>
                <c:ptCount val="3"/>
                <c:pt idx="0">
                  <c:v>MAXIMO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'10 Elementos'!$L$55:$M$55</c:f>
              <c:strCache>
                <c:ptCount val="2"/>
                <c:pt idx="0">
                  <c:v>% Perdida Pro</c:v>
                </c:pt>
                <c:pt idx="1">
                  <c:v>% Perdida MP</c:v>
                </c:pt>
              </c:strCache>
            </c:strRef>
          </c:cat>
          <c:val>
            <c:numRef>
              <c:f>'10 Elementos'!$L$54:$M$54</c:f>
              <c:numCache>
                <c:formatCode>0.00%</c:formatCode>
                <c:ptCount val="2"/>
                <c:pt idx="0">
                  <c:v>2.0833333333333353E-2</c:v>
                </c:pt>
                <c:pt idx="1">
                  <c:v>2.0833333333333353E-2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BF-4493-BE54-D72BC1936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447136"/>
        <c:axId val="488450016"/>
      </c:barChart>
      <c:catAx>
        <c:axId val="48844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50016"/>
        <c:crosses val="autoZero"/>
        <c:auto val="1"/>
        <c:lblAlgn val="ctr"/>
        <c:lblOffset val="100"/>
        <c:noMultiLvlLbl val="0"/>
      </c:catAx>
      <c:valAx>
        <c:axId val="4884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</a:t>
            </a:r>
            <a:r>
              <a:rPr lang="es-ES" baseline="0"/>
              <a:t> de SpeedUp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'10 Elementos'!$I$53:$K$53</c:f>
              <c:strCache>
                <c:ptCount val="3"/>
                <c:pt idx="0">
                  <c:v>MINIMO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 Elementos'!$N$55:$O$55</c:f>
              <c:strCache>
                <c:ptCount val="2"/>
                <c:pt idx="0">
                  <c:v>SpeedUp Pro (X)</c:v>
                </c:pt>
                <c:pt idx="1">
                  <c:v>SpeedUp MP (X)</c:v>
                </c:pt>
              </c:strCache>
            </c:strRef>
          </c:cat>
          <c:val>
            <c:numRef>
              <c:f>'10 Elementos'!$N$53:$O$53</c:f>
              <c:numCache>
                <c:formatCode>0.00</c:formatCode>
                <c:ptCount val="2"/>
                <c:pt idx="0">
                  <c:v>0.12</c:v>
                </c:pt>
                <c:pt idx="1">
                  <c:v>-1371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B-4C08-9DA5-779921F85FBA}"/>
            </c:ext>
          </c:extLst>
        </c:ser>
        <c:ser>
          <c:idx val="0"/>
          <c:order val="1"/>
          <c:tx>
            <c:strRef>
              <c:f>'10 Elementos'!$I$52:$K$52</c:f>
              <c:strCache>
                <c:ptCount val="3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 Elementos'!$N$55:$O$55</c:f>
              <c:strCache>
                <c:ptCount val="2"/>
                <c:pt idx="0">
                  <c:v>SpeedUp Pro (X)</c:v>
                </c:pt>
                <c:pt idx="1">
                  <c:v>SpeedUp MP (X)</c:v>
                </c:pt>
              </c:strCache>
            </c:strRef>
          </c:cat>
          <c:val>
            <c:numRef>
              <c:f>'10 Elementos'!$N$52:$O$52</c:f>
              <c:numCache>
                <c:formatCode>0.00</c:formatCode>
                <c:ptCount val="2"/>
                <c:pt idx="0">
                  <c:v>298.78693877551018</c:v>
                </c:pt>
                <c:pt idx="1">
                  <c:v>-495.69775510204073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B-4C08-9DA5-779921F85FBA}"/>
            </c:ext>
          </c:extLst>
        </c:ser>
        <c:ser>
          <c:idx val="2"/>
          <c:order val="2"/>
          <c:tx>
            <c:strRef>
              <c:f>'10 Elementos'!$I$54:$K$54</c:f>
              <c:strCache>
                <c:ptCount val="3"/>
                <c:pt idx="0">
                  <c:v>MAXIMO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'10 Elementos'!$N$55:$O$55</c:f>
              <c:strCache>
                <c:ptCount val="2"/>
                <c:pt idx="0">
                  <c:v>SpeedUp Pro (X)</c:v>
                </c:pt>
                <c:pt idx="1">
                  <c:v>SpeedUp MP (X)</c:v>
                </c:pt>
              </c:strCache>
            </c:strRef>
          </c:cat>
          <c:val>
            <c:numRef>
              <c:f>'10 Elementos'!$N$54:$O$54</c:f>
              <c:numCache>
                <c:formatCode>0.00</c:formatCode>
                <c:ptCount val="2"/>
                <c:pt idx="0">
                  <c:v>1408</c:v>
                </c:pt>
                <c:pt idx="1">
                  <c:v>-12.3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6B-4C08-9DA5-779921F85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447136"/>
        <c:axId val="488450016"/>
      </c:barChart>
      <c:catAx>
        <c:axId val="48844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50016"/>
        <c:crosses val="autoZero"/>
        <c:auto val="1"/>
        <c:lblAlgn val="ctr"/>
        <c:lblOffset val="100"/>
        <c:noMultiLvlLbl val="0"/>
      </c:catAx>
      <c:valAx>
        <c:axId val="4884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Comparativa Perdida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'15 Elementos'!$D$2</c:f>
              <c:strCache>
                <c:ptCount val="1"/>
                <c:pt idx="0">
                  <c:v>Perdida Phi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'15 Elementos'!$D$3:$D$51</c:f>
              <c:numCache>
                <c:formatCode>0.00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9-49BC-9C62-2AA573872FD0}"/>
            </c:ext>
          </c:extLst>
        </c:ser>
        <c:ser>
          <c:idx val="2"/>
          <c:order val="1"/>
          <c:tx>
            <c:strRef>
              <c:f>'15 Elementos'!$G$2</c:f>
              <c:strCache>
                <c:ptCount val="1"/>
                <c:pt idx="0">
                  <c:v>Perdida 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'15 Elementos'!$G$3:$G$51</c:f>
              <c:numCache>
                <c:formatCode>0.00</c:formatCode>
                <c:ptCount val="49"/>
                <c:pt idx="0">
                  <c:v>0</c:v>
                </c:pt>
                <c:pt idx="1">
                  <c:v>0.03</c:v>
                </c:pt>
                <c:pt idx="2">
                  <c:v>0</c:v>
                </c:pt>
                <c:pt idx="3">
                  <c:v>0.03</c:v>
                </c:pt>
                <c:pt idx="4">
                  <c:v>0</c:v>
                </c:pt>
                <c:pt idx="5">
                  <c:v>0.01</c:v>
                </c:pt>
                <c:pt idx="6">
                  <c:v>0</c:v>
                </c:pt>
                <c:pt idx="7">
                  <c:v>0</c:v>
                </c:pt>
                <c:pt idx="8">
                  <c:v>0.03</c:v>
                </c:pt>
                <c:pt idx="9">
                  <c:v>0</c:v>
                </c:pt>
                <c:pt idx="10">
                  <c:v>0.03</c:v>
                </c:pt>
                <c:pt idx="11">
                  <c:v>0</c:v>
                </c:pt>
                <c:pt idx="12">
                  <c:v>0.01</c:v>
                </c:pt>
                <c:pt idx="13">
                  <c:v>0</c:v>
                </c:pt>
                <c:pt idx="14">
                  <c:v>0</c:v>
                </c:pt>
                <c:pt idx="15">
                  <c:v>0.03</c:v>
                </c:pt>
                <c:pt idx="16">
                  <c:v>0</c:v>
                </c:pt>
                <c:pt idx="17">
                  <c:v>0.03</c:v>
                </c:pt>
                <c:pt idx="18">
                  <c:v>0</c:v>
                </c:pt>
                <c:pt idx="19">
                  <c:v>0.01</c:v>
                </c:pt>
                <c:pt idx="20">
                  <c:v>0</c:v>
                </c:pt>
                <c:pt idx="21">
                  <c:v>0</c:v>
                </c:pt>
                <c:pt idx="22">
                  <c:v>0.03</c:v>
                </c:pt>
                <c:pt idx="23">
                  <c:v>0</c:v>
                </c:pt>
                <c:pt idx="24">
                  <c:v>0.03</c:v>
                </c:pt>
                <c:pt idx="25">
                  <c:v>0</c:v>
                </c:pt>
                <c:pt idx="26">
                  <c:v>0.01</c:v>
                </c:pt>
                <c:pt idx="27">
                  <c:v>0</c:v>
                </c:pt>
                <c:pt idx="28">
                  <c:v>0</c:v>
                </c:pt>
                <c:pt idx="29">
                  <c:v>0.03</c:v>
                </c:pt>
                <c:pt idx="30">
                  <c:v>0</c:v>
                </c:pt>
                <c:pt idx="31">
                  <c:v>0.03</c:v>
                </c:pt>
                <c:pt idx="32">
                  <c:v>0</c:v>
                </c:pt>
                <c:pt idx="33">
                  <c:v>0.01</c:v>
                </c:pt>
                <c:pt idx="34">
                  <c:v>0</c:v>
                </c:pt>
                <c:pt idx="35">
                  <c:v>0</c:v>
                </c:pt>
                <c:pt idx="36">
                  <c:v>0.03</c:v>
                </c:pt>
                <c:pt idx="37">
                  <c:v>0</c:v>
                </c:pt>
                <c:pt idx="38">
                  <c:v>0.03</c:v>
                </c:pt>
                <c:pt idx="39">
                  <c:v>0</c:v>
                </c:pt>
                <c:pt idx="40">
                  <c:v>0.01</c:v>
                </c:pt>
                <c:pt idx="41">
                  <c:v>0</c:v>
                </c:pt>
                <c:pt idx="42">
                  <c:v>0</c:v>
                </c:pt>
                <c:pt idx="43">
                  <c:v>0.03</c:v>
                </c:pt>
                <c:pt idx="44">
                  <c:v>0</c:v>
                </c:pt>
                <c:pt idx="45">
                  <c:v>0.03</c:v>
                </c:pt>
                <c:pt idx="46">
                  <c:v>0</c:v>
                </c:pt>
                <c:pt idx="47">
                  <c:v>0.01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69-49BC-9C62-2AA573872FD0}"/>
            </c:ext>
          </c:extLst>
        </c:ser>
        <c:ser>
          <c:idx val="3"/>
          <c:order val="2"/>
          <c:tx>
            <c:strRef>
              <c:f>'15 Elementos'!$J$2</c:f>
              <c:strCache>
                <c:ptCount val="1"/>
                <c:pt idx="0">
                  <c:v>Perdida 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'15 Elementos'!$J$3:$J$51</c:f>
              <c:numCache>
                <c:formatCode>0.00</c:formatCode>
                <c:ptCount val="49"/>
                <c:pt idx="0">
                  <c:v>0</c:v>
                </c:pt>
                <c:pt idx="1">
                  <c:v>0.03</c:v>
                </c:pt>
                <c:pt idx="2">
                  <c:v>0</c:v>
                </c:pt>
                <c:pt idx="3">
                  <c:v>0.03</c:v>
                </c:pt>
                <c:pt idx="4">
                  <c:v>0</c:v>
                </c:pt>
                <c:pt idx="5">
                  <c:v>0.01</c:v>
                </c:pt>
                <c:pt idx="6">
                  <c:v>0</c:v>
                </c:pt>
                <c:pt idx="7">
                  <c:v>0</c:v>
                </c:pt>
                <c:pt idx="8">
                  <c:v>0.03</c:v>
                </c:pt>
                <c:pt idx="9">
                  <c:v>0</c:v>
                </c:pt>
                <c:pt idx="10">
                  <c:v>0.03</c:v>
                </c:pt>
                <c:pt idx="11">
                  <c:v>0</c:v>
                </c:pt>
                <c:pt idx="12">
                  <c:v>0.01</c:v>
                </c:pt>
                <c:pt idx="13">
                  <c:v>0</c:v>
                </c:pt>
                <c:pt idx="14">
                  <c:v>0</c:v>
                </c:pt>
                <c:pt idx="15">
                  <c:v>0.03</c:v>
                </c:pt>
                <c:pt idx="16">
                  <c:v>0</c:v>
                </c:pt>
                <c:pt idx="17">
                  <c:v>0.03</c:v>
                </c:pt>
                <c:pt idx="18">
                  <c:v>0</c:v>
                </c:pt>
                <c:pt idx="19">
                  <c:v>0.01</c:v>
                </c:pt>
                <c:pt idx="20">
                  <c:v>0</c:v>
                </c:pt>
                <c:pt idx="21">
                  <c:v>0</c:v>
                </c:pt>
                <c:pt idx="22">
                  <c:v>0.03</c:v>
                </c:pt>
                <c:pt idx="23">
                  <c:v>0</c:v>
                </c:pt>
                <c:pt idx="24">
                  <c:v>0.03</c:v>
                </c:pt>
                <c:pt idx="25">
                  <c:v>0</c:v>
                </c:pt>
                <c:pt idx="26">
                  <c:v>0.01</c:v>
                </c:pt>
                <c:pt idx="27">
                  <c:v>0</c:v>
                </c:pt>
                <c:pt idx="28">
                  <c:v>0</c:v>
                </c:pt>
                <c:pt idx="29">
                  <c:v>0.03</c:v>
                </c:pt>
                <c:pt idx="30">
                  <c:v>0</c:v>
                </c:pt>
                <c:pt idx="31">
                  <c:v>0.03</c:v>
                </c:pt>
                <c:pt idx="32">
                  <c:v>0</c:v>
                </c:pt>
                <c:pt idx="33">
                  <c:v>0.01</c:v>
                </c:pt>
                <c:pt idx="34">
                  <c:v>0</c:v>
                </c:pt>
                <c:pt idx="35">
                  <c:v>0</c:v>
                </c:pt>
                <c:pt idx="36">
                  <c:v>0.03</c:v>
                </c:pt>
                <c:pt idx="37">
                  <c:v>0</c:v>
                </c:pt>
                <c:pt idx="38">
                  <c:v>0.03</c:v>
                </c:pt>
                <c:pt idx="39">
                  <c:v>0</c:v>
                </c:pt>
                <c:pt idx="40">
                  <c:v>0.01</c:v>
                </c:pt>
                <c:pt idx="41">
                  <c:v>0</c:v>
                </c:pt>
                <c:pt idx="42">
                  <c:v>0</c:v>
                </c:pt>
                <c:pt idx="43">
                  <c:v>0.03</c:v>
                </c:pt>
                <c:pt idx="44">
                  <c:v>0</c:v>
                </c:pt>
                <c:pt idx="45">
                  <c:v>0.03</c:v>
                </c:pt>
                <c:pt idx="46">
                  <c:v>0</c:v>
                </c:pt>
                <c:pt idx="47">
                  <c:v>0.01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69-49BC-9C62-2AA573872FD0}"/>
            </c:ext>
          </c:extLst>
        </c:ser>
        <c:ser>
          <c:idx val="0"/>
          <c:order val="3"/>
          <c:tx>
            <c:strRef>
              <c:f>'15 Elementos'!$M$2</c:f>
              <c:strCache>
                <c:ptCount val="1"/>
                <c:pt idx="0">
                  <c:v>Perdida CUDA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'15 Elementos'!$M$3:$M$51</c:f>
              <c:numCache>
                <c:formatCode>0.00</c:formatCode>
                <c:ptCount val="49"/>
                <c:pt idx="0">
                  <c:v>0</c:v>
                </c:pt>
                <c:pt idx="1">
                  <c:v>0.03</c:v>
                </c:pt>
                <c:pt idx="2">
                  <c:v>0</c:v>
                </c:pt>
                <c:pt idx="3">
                  <c:v>0.03</c:v>
                </c:pt>
                <c:pt idx="4">
                  <c:v>0</c:v>
                </c:pt>
                <c:pt idx="5">
                  <c:v>0.01</c:v>
                </c:pt>
                <c:pt idx="6">
                  <c:v>0</c:v>
                </c:pt>
                <c:pt idx="7">
                  <c:v>0</c:v>
                </c:pt>
                <c:pt idx="8">
                  <c:v>0.03</c:v>
                </c:pt>
                <c:pt idx="9">
                  <c:v>0</c:v>
                </c:pt>
                <c:pt idx="10">
                  <c:v>0.03</c:v>
                </c:pt>
                <c:pt idx="11">
                  <c:v>0</c:v>
                </c:pt>
                <c:pt idx="12">
                  <c:v>0.01</c:v>
                </c:pt>
                <c:pt idx="13">
                  <c:v>0</c:v>
                </c:pt>
                <c:pt idx="14">
                  <c:v>0</c:v>
                </c:pt>
                <c:pt idx="15">
                  <c:v>0.03</c:v>
                </c:pt>
                <c:pt idx="16">
                  <c:v>0</c:v>
                </c:pt>
                <c:pt idx="17">
                  <c:v>0.03</c:v>
                </c:pt>
                <c:pt idx="18">
                  <c:v>0</c:v>
                </c:pt>
                <c:pt idx="19">
                  <c:v>0.01</c:v>
                </c:pt>
                <c:pt idx="20">
                  <c:v>0</c:v>
                </c:pt>
                <c:pt idx="21">
                  <c:v>0</c:v>
                </c:pt>
                <c:pt idx="22">
                  <c:v>0.03</c:v>
                </c:pt>
                <c:pt idx="23">
                  <c:v>0</c:v>
                </c:pt>
                <c:pt idx="24">
                  <c:v>0.03</c:v>
                </c:pt>
                <c:pt idx="25">
                  <c:v>0</c:v>
                </c:pt>
                <c:pt idx="26">
                  <c:v>0.01</c:v>
                </c:pt>
                <c:pt idx="27">
                  <c:v>0</c:v>
                </c:pt>
                <c:pt idx="28">
                  <c:v>0</c:v>
                </c:pt>
                <c:pt idx="29">
                  <c:v>0.03</c:v>
                </c:pt>
                <c:pt idx="30">
                  <c:v>0</c:v>
                </c:pt>
                <c:pt idx="31">
                  <c:v>0.03</c:v>
                </c:pt>
                <c:pt idx="32">
                  <c:v>0</c:v>
                </c:pt>
                <c:pt idx="33">
                  <c:v>0.01</c:v>
                </c:pt>
                <c:pt idx="34">
                  <c:v>0</c:v>
                </c:pt>
                <c:pt idx="35">
                  <c:v>0</c:v>
                </c:pt>
                <c:pt idx="36">
                  <c:v>0.03</c:v>
                </c:pt>
                <c:pt idx="37">
                  <c:v>0</c:v>
                </c:pt>
                <c:pt idx="38">
                  <c:v>0.03</c:v>
                </c:pt>
                <c:pt idx="39">
                  <c:v>0</c:v>
                </c:pt>
                <c:pt idx="40">
                  <c:v>0.01</c:v>
                </c:pt>
                <c:pt idx="41">
                  <c:v>0</c:v>
                </c:pt>
                <c:pt idx="42">
                  <c:v>0</c:v>
                </c:pt>
                <c:pt idx="43">
                  <c:v>0.03</c:v>
                </c:pt>
                <c:pt idx="44">
                  <c:v>0</c:v>
                </c:pt>
                <c:pt idx="45">
                  <c:v>0.03</c:v>
                </c:pt>
                <c:pt idx="46">
                  <c:v>0</c:v>
                </c:pt>
                <c:pt idx="47">
                  <c:v>0.01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F-46BB-A34E-2DE722A6B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255296"/>
        <c:axId val="599246176"/>
      </c:barChart>
      <c:catAx>
        <c:axId val="59925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46176"/>
        <c:crosses val="autoZero"/>
        <c:auto val="1"/>
        <c:lblAlgn val="ctr"/>
        <c:lblOffset val="100"/>
        <c:noMultiLvlLbl val="0"/>
      </c:catAx>
      <c:valAx>
        <c:axId val="5992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Comparativa Tiempo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'15 Elementos'!$E$2</c:f>
              <c:strCache>
                <c:ptCount val="1"/>
                <c:pt idx="0">
                  <c:v>Tiempo Phi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'15 Elementos'!$E$3:$E$51</c:f>
              <c:numCache>
                <c:formatCode>0.00</c:formatCode>
                <c:ptCount val="49"/>
                <c:pt idx="0">
                  <c:v>38.96</c:v>
                </c:pt>
                <c:pt idx="1">
                  <c:v>40.94</c:v>
                </c:pt>
                <c:pt idx="2">
                  <c:v>41.7</c:v>
                </c:pt>
                <c:pt idx="3">
                  <c:v>42.84</c:v>
                </c:pt>
                <c:pt idx="7">
                  <c:v>11.85</c:v>
                </c:pt>
                <c:pt idx="8">
                  <c:v>12.2</c:v>
                </c:pt>
                <c:pt idx="9">
                  <c:v>12.44</c:v>
                </c:pt>
                <c:pt idx="10">
                  <c:v>11.97</c:v>
                </c:pt>
                <c:pt idx="14">
                  <c:v>11.79</c:v>
                </c:pt>
                <c:pt idx="15">
                  <c:v>11.98</c:v>
                </c:pt>
                <c:pt idx="16">
                  <c:v>12.71</c:v>
                </c:pt>
                <c:pt idx="17">
                  <c:v>13.47</c:v>
                </c:pt>
                <c:pt idx="21">
                  <c:v>4.6500000000000004</c:v>
                </c:pt>
                <c:pt idx="22">
                  <c:v>4.62</c:v>
                </c:pt>
                <c:pt idx="23">
                  <c:v>4.7300000000000004</c:v>
                </c:pt>
                <c:pt idx="24">
                  <c:v>4.67</c:v>
                </c:pt>
                <c:pt idx="28">
                  <c:v>0.56000000000000005</c:v>
                </c:pt>
                <c:pt idx="29">
                  <c:v>0.5</c:v>
                </c:pt>
                <c:pt idx="30">
                  <c:v>0.5</c:v>
                </c:pt>
                <c:pt idx="31">
                  <c:v>0.51</c:v>
                </c:pt>
                <c:pt idx="32">
                  <c:v>8.67</c:v>
                </c:pt>
                <c:pt idx="33">
                  <c:v>4.55</c:v>
                </c:pt>
                <c:pt idx="34">
                  <c:v>33.44</c:v>
                </c:pt>
                <c:pt idx="35">
                  <c:v>0.53</c:v>
                </c:pt>
                <c:pt idx="36">
                  <c:v>0.48</c:v>
                </c:pt>
                <c:pt idx="37">
                  <c:v>0.46</c:v>
                </c:pt>
                <c:pt idx="38">
                  <c:v>0.47</c:v>
                </c:pt>
                <c:pt idx="39">
                  <c:v>4.55</c:v>
                </c:pt>
                <c:pt idx="40">
                  <c:v>2.4700000000000002</c:v>
                </c:pt>
                <c:pt idx="41">
                  <c:v>16.350000000000001</c:v>
                </c:pt>
                <c:pt idx="42">
                  <c:v>0.93</c:v>
                </c:pt>
                <c:pt idx="43">
                  <c:v>0.87</c:v>
                </c:pt>
                <c:pt idx="44">
                  <c:v>0.81</c:v>
                </c:pt>
                <c:pt idx="45">
                  <c:v>0.82</c:v>
                </c:pt>
                <c:pt idx="46">
                  <c:v>39.369999999999997</c:v>
                </c:pt>
                <c:pt idx="47">
                  <c:v>19.399999999999999</c:v>
                </c:pt>
                <c:pt idx="48">
                  <c:v>161.44999999999999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D-4E68-A6AA-F867F7D230F7}"/>
            </c:ext>
          </c:extLst>
        </c:ser>
        <c:ser>
          <c:idx val="2"/>
          <c:order val="1"/>
          <c:tx>
            <c:strRef>
              <c:f>'15 Elementos'!$H$2</c:f>
              <c:strCache>
                <c:ptCount val="1"/>
                <c:pt idx="0">
                  <c:v>Tiempo 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'15 Elementos'!$H$3:$H$51</c:f>
              <c:numCache>
                <c:formatCode>0.00</c:formatCode>
                <c:ptCount val="49"/>
                <c:pt idx="0">
                  <c:v>8.27</c:v>
                </c:pt>
                <c:pt idx="1">
                  <c:v>3.57</c:v>
                </c:pt>
                <c:pt idx="2">
                  <c:v>5</c:v>
                </c:pt>
                <c:pt idx="3">
                  <c:v>1.84</c:v>
                </c:pt>
                <c:pt idx="4">
                  <c:v>0.04</c:v>
                </c:pt>
                <c:pt idx="5">
                  <c:v>0.03</c:v>
                </c:pt>
                <c:pt idx="6">
                  <c:v>0.19</c:v>
                </c:pt>
                <c:pt idx="7">
                  <c:v>7.59</c:v>
                </c:pt>
                <c:pt idx="8">
                  <c:v>3.17</c:v>
                </c:pt>
                <c:pt idx="9">
                  <c:v>4.4000000000000004</c:v>
                </c:pt>
                <c:pt idx="10">
                  <c:v>1.39</c:v>
                </c:pt>
                <c:pt idx="11">
                  <c:v>0.03</c:v>
                </c:pt>
                <c:pt idx="12">
                  <c:v>0.03</c:v>
                </c:pt>
                <c:pt idx="13">
                  <c:v>0.14000000000000001</c:v>
                </c:pt>
                <c:pt idx="14">
                  <c:v>7.38</c:v>
                </c:pt>
                <c:pt idx="15">
                  <c:v>3.08</c:v>
                </c:pt>
                <c:pt idx="16">
                  <c:v>4.43</c:v>
                </c:pt>
                <c:pt idx="17">
                  <c:v>1.42</c:v>
                </c:pt>
                <c:pt idx="18">
                  <c:v>0.04</c:v>
                </c:pt>
                <c:pt idx="19">
                  <c:v>0.03</c:v>
                </c:pt>
                <c:pt idx="20">
                  <c:v>0.14000000000000001</c:v>
                </c:pt>
                <c:pt idx="21">
                  <c:v>7.05</c:v>
                </c:pt>
                <c:pt idx="22">
                  <c:v>2.82</c:v>
                </c:pt>
                <c:pt idx="23">
                  <c:v>3.92</c:v>
                </c:pt>
                <c:pt idx="24">
                  <c:v>1.29</c:v>
                </c:pt>
                <c:pt idx="25">
                  <c:v>0.03</c:v>
                </c:pt>
                <c:pt idx="26">
                  <c:v>0.02</c:v>
                </c:pt>
                <c:pt idx="27">
                  <c:v>0.14000000000000001</c:v>
                </c:pt>
                <c:pt idx="28">
                  <c:v>3.97</c:v>
                </c:pt>
                <c:pt idx="29">
                  <c:v>1.72</c:v>
                </c:pt>
                <c:pt idx="30">
                  <c:v>2.5299999999999998</c:v>
                </c:pt>
                <c:pt idx="31">
                  <c:v>0.8</c:v>
                </c:pt>
                <c:pt idx="32">
                  <c:v>0.02</c:v>
                </c:pt>
                <c:pt idx="33">
                  <c:v>0.02</c:v>
                </c:pt>
                <c:pt idx="34">
                  <c:v>0.12</c:v>
                </c:pt>
                <c:pt idx="35">
                  <c:v>3.74</c:v>
                </c:pt>
                <c:pt idx="36">
                  <c:v>1.42</c:v>
                </c:pt>
                <c:pt idx="37">
                  <c:v>1.97</c:v>
                </c:pt>
                <c:pt idx="38">
                  <c:v>0.71</c:v>
                </c:pt>
                <c:pt idx="39">
                  <c:v>0.02</c:v>
                </c:pt>
                <c:pt idx="40">
                  <c:v>0.03</c:v>
                </c:pt>
                <c:pt idx="41">
                  <c:v>0.08</c:v>
                </c:pt>
                <c:pt idx="42">
                  <c:v>5.13</c:v>
                </c:pt>
                <c:pt idx="43">
                  <c:v>2.12</c:v>
                </c:pt>
                <c:pt idx="44">
                  <c:v>3.12</c:v>
                </c:pt>
                <c:pt idx="45">
                  <c:v>1.06</c:v>
                </c:pt>
                <c:pt idx="46">
                  <c:v>0.04</c:v>
                </c:pt>
                <c:pt idx="47">
                  <c:v>0.01</c:v>
                </c:pt>
                <c:pt idx="48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BD-4E68-A6AA-F867F7D230F7}"/>
            </c:ext>
          </c:extLst>
        </c:ser>
        <c:ser>
          <c:idx val="3"/>
          <c:order val="2"/>
          <c:tx>
            <c:strRef>
              <c:f>'15 Elementos'!$K$2</c:f>
              <c:strCache>
                <c:ptCount val="1"/>
                <c:pt idx="0">
                  <c:v>Tiempo 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'15 Elementos'!$K$3:$K$51</c:f>
              <c:numCache>
                <c:formatCode>0.00</c:formatCode>
                <c:ptCount val="49"/>
                <c:pt idx="0">
                  <c:v>15.53</c:v>
                </c:pt>
                <c:pt idx="1">
                  <c:v>13.32</c:v>
                </c:pt>
                <c:pt idx="2">
                  <c:v>14.55</c:v>
                </c:pt>
                <c:pt idx="3">
                  <c:v>12.79</c:v>
                </c:pt>
                <c:pt idx="4">
                  <c:v>12.15</c:v>
                </c:pt>
                <c:pt idx="5">
                  <c:v>12.69</c:v>
                </c:pt>
                <c:pt idx="6">
                  <c:v>12.46</c:v>
                </c:pt>
                <c:pt idx="7">
                  <c:v>16.510000000000002</c:v>
                </c:pt>
                <c:pt idx="8">
                  <c:v>13.2</c:v>
                </c:pt>
                <c:pt idx="9">
                  <c:v>14.34</c:v>
                </c:pt>
                <c:pt idx="10">
                  <c:v>12.98</c:v>
                </c:pt>
                <c:pt idx="11">
                  <c:v>13.74</c:v>
                </c:pt>
                <c:pt idx="12">
                  <c:v>13.56</c:v>
                </c:pt>
                <c:pt idx="13">
                  <c:v>12.52</c:v>
                </c:pt>
                <c:pt idx="14">
                  <c:v>18.71</c:v>
                </c:pt>
                <c:pt idx="15">
                  <c:v>15.78</c:v>
                </c:pt>
                <c:pt idx="16">
                  <c:v>14.96</c:v>
                </c:pt>
                <c:pt idx="17">
                  <c:v>13.14</c:v>
                </c:pt>
                <c:pt idx="18">
                  <c:v>12.93</c:v>
                </c:pt>
                <c:pt idx="19">
                  <c:v>12.19</c:v>
                </c:pt>
                <c:pt idx="20">
                  <c:v>11.03</c:v>
                </c:pt>
                <c:pt idx="21">
                  <c:v>14.99</c:v>
                </c:pt>
                <c:pt idx="22">
                  <c:v>13.35</c:v>
                </c:pt>
                <c:pt idx="23">
                  <c:v>13.11</c:v>
                </c:pt>
                <c:pt idx="24">
                  <c:v>11.42</c:v>
                </c:pt>
                <c:pt idx="25">
                  <c:v>11.15</c:v>
                </c:pt>
                <c:pt idx="26">
                  <c:v>11.06</c:v>
                </c:pt>
                <c:pt idx="27">
                  <c:v>11.08</c:v>
                </c:pt>
                <c:pt idx="28">
                  <c:v>13.05</c:v>
                </c:pt>
                <c:pt idx="29">
                  <c:v>11.73</c:v>
                </c:pt>
                <c:pt idx="30">
                  <c:v>12.69</c:v>
                </c:pt>
                <c:pt idx="31">
                  <c:v>11.22</c:v>
                </c:pt>
                <c:pt idx="32">
                  <c:v>11.02</c:v>
                </c:pt>
                <c:pt idx="33">
                  <c:v>10.97</c:v>
                </c:pt>
                <c:pt idx="34">
                  <c:v>11.02</c:v>
                </c:pt>
                <c:pt idx="35">
                  <c:v>12.81</c:v>
                </c:pt>
                <c:pt idx="36">
                  <c:v>13.99</c:v>
                </c:pt>
                <c:pt idx="37">
                  <c:v>12.36</c:v>
                </c:pt>
                <c:pt idx="38">
                  <c:v>8.26</c:v>
                </c:pt>
                <c:pt idx="39">
                  <c:v>10.73</c:v>
                </c:pt>
                <c:pt idx="40">
                  <c:v>10.59</c:v>
                </c:pt>
                <c:pt idx="41">
                  <c:v>10.76</c:v>
                </c:pt>
                <c:pt idx="42">
                  <c:v>13.9</c:v>
                </c:pt>
                <c:pt idx="43">
                  <c:v>12.03</c:v>
                </c:pt>
                <c:pt idx="44">
                  <c:v>12.15</c:v>
                </c:pt>
                <c:pt idx="45">
                  <c:v>8.39</c:v>
                </c:pt>
                <c:pt idx="46">
                  <c:v>10.64</c:v>
                </c:pt>
                <c:pt idx="47">
                  <c:v>11.61</c:v>
                </c:pt>
                <c:pt idx="48">
                  <c:v>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BD-4E68-A6AA-F867F7D230F7}"/>
            </c:ext>
          </c:extLst>
        </c:ser>
        <c:ser>
          <c:idx val="0"/>
          <c:order val="3"/>
          <c:tx>
            <c:strRef>
              <c:f>'15 Elementos'!$N$2</c:f>
              <c:strCache>
                <c:ptCount val="1"/>
                <c:pt idx="0">
                  <c:v>Tiempo CUDA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'15 Elementos'!$N$3:$N$51</c:f>
              <c:numCache>
                <c:formatCode>0.00</c:formatCode>
                <c:ptCount val="49"/>
                <c:pt idx="0">
                  <c:v>7.5</c:v>
                </c:pt>
                <c:pt idx="1">
                  <c:v>5.08</c:v>
                </c:pt>
                <c:pt idx="2">
                  <c:v>6.85</c:v>
                </c:pt>
                <c:pt idx="3">
                  <c:v>4.63</c:v>
                </c:pt>
                <c:pt idx="4">
                  <c:v>4.41</c:v>
                </c:pt>
                <c:pt idx="5">
                  <c:v>4.6100000000000003</c:v>
                </c:pt>
                <c:pt idx="6">
                  <c:v>4.66</c:v>
                </c:pt>
                <c:pt idx="7">
                  <c:v>6.64</c:v>
                </c:pt>
                <c:pt idx="8">
                  <c:v>4.82</c:v>
                </c:pt>
                <c:pt idx="9">
                  <c:v>6.68</c:v>
                </c:pt>
                <c:pt idx="10">
                  <c:v>4.5999999999999996</c:v>
                </c:pt>
                <c:pt idx="11">
                  <c:v>4.4400000000000004</c:v>
                </c:pt>
                <c:pt idx="12">
                  <c:v>4.5</c:v>
                </c:pt>
                <c:pt idx="13">
                  <c:v>4.26</c:v>
                </c:pt>
                <c:pt idx="14">
                  <c:v>6.6</c:v>
                </c:pt>
                <c:pt idx="15">
                  <c:v>4.76</c:v>
                </c:pt>
                <c:pt idx="16">
                  <c:v>6.57</c:v>
                </c:pt>
                <c:pt idx="17">
                  <c:v>4.51</c:v>
                </c:pt>
                <c:pt idx="18">
                  <c:v>4.58</c:v>
                </c:pt>
                <c:pt idx="19">
                  <c:v>4.32</c:v>
                </c:pt>
                <c:pt idx="20">
                  <c:v>4.62</c:v>
                </c:pt>
                <c:pt idx="21">
                  <c:v>6.31</c:v>
                </c:pt>
                <c:pt idx="22">
                  <c:v>4.6399999999999997</c:v>
                </c:pt>
                <c:pt idx="23">
                  <c:v>6.26</c:v>
                </c:pt>
                <c:pt idx="24">
                  <c:v>4.67</c:v>
                </c:pt>
                <c:pt idx="25">
                  <c:v>4.34</c:v>
                </c:pt>
                <c:pt idx="26">
                  <c:v>4.33</c:v>
                </c:pt>
                <c:pt idx="27">
                  <c:v>4.6500000000000004</c:v>
                </c:pt>
                <c:pt idx="28">
                  <c:v>5.17</c:v>
                </c:pt>
                <c:pt idx="29">
                  <c:v>4.34</c:v>
                </c:pt>
                <c:pt idx="30">
                  <c:v>5.35</c:v>
                </c:pt>
                <c:pt idx="31">
                  <c:v>4.4000000000000004</c:v>
                </c:pt>
                <c:pt idx="32">
                  <c:v>4.2300000000000004</c:v>
                </c:pt>
                <c:pt idx="33">
                  <c:v>4.42</c:v>
                </c:pt>
                <c:pt idx="34">
                  <c:v>4.16</c:v>
                </c:pt>
                <c:pt idx="35">
                  <c:v>5.51</c:v>
                </c:pt>
                <c:pt idx="36">
                  <c:v>4.46</c:v>
                </c:pt>
                <c:pt idx="37">
                  <c:v>5.05</c:v>
                </c:pt>
                <c:pt idx="38">
                  <c:v>4.54</c:v>
                </c:pt>
                <c:pt idx="39">
                  <c:v>4.4400000000000004</c:v>
                </c:pt>
                <c:pt idx="40">
                  <c:v>4.32</c:v>
                </c:pt>
                <c:pt idx="41">
                  <c:v>4.26</c:v>
                </c:pt>
                <c:pt idx="42">
                  <c:v>5.99</c:v>
                </c:pt>
                <c:pt idx="43">
                  <c:v>4.5999999999999996</c:v>
                </c:pt>
                <c:pt idx="44">
                  <c:v>5.47</c:v>
                </c:pt>
                <c:pt idx="45">
                  <c:v>4.5599999999999996</c:v>
                </c:pt>
                <c:pt idx="46">
                  <c:v>4.3099999999999996</c:v>
                </c:pt>
                <c:pt idx="47">
                  <c:v>4.38</c:v>
                </c:pt>
                <c:pt idx="48">
                  <c:v>4.4400000000000004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9-4326-9F87-8591279A3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255296"/>
        <c:axId val="599246176"/>
      </c:barChart>
      <c:catAx>
        <c:axId val="59925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46176"/>
        <c:crosses val="autoZero"/>
        <c:auto val="1"/>
        <c:lblAlgn val="ctr"/>
        <c:lblOffset val="100"/>
        <c:noMultiLvlLbl val="0"/>
      </c:catAx>
      <c:valAx>
        <c:axId val="5992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</a:t>
            </a:r>
            <a:r>
              <a:rPr lang="es-ES" baseline="0"/>
              <a:t> de Perdida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'15 Elementos'!$I$53:$K$53</c:f>
              <c:strCache>
                <c:ptCount val="3"/>
                <c:pt idx="0">
                  <c:v>MINIMO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'15 Elementos'!$O$55:$Q$55</c:f>
              <c:strCache>
                <c:ptCount val="3"/>
                <c:pt idx="0">
                  <c:v>% Perdida Pro</c:v>
                </c:pt>
                <c:pt idx="1">
                  <c:v>% Perdida MP</c:v>
                </c:pt>
                <c:pt idx="2">
                  <c:v>% Perdida CUDA</c:v>
                </c:pt>
              </c:strCache>
            </c:strRef>
          </c:cat>
          <c:val>
            <c:numRef>
              <c:f>'15 Elementos'!$O$53:$Q$53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C-4FCA-A63B-4E1A58F2E780}"/>
            </c:ext>
          </c:extLst>
        </c:ser>
        <c:ser>
          <c:idx val="0"/>
          <c:order val="1"/>
          <c:tx>
            <c:strRef>
              <c:f>'15 Elementos'!$I$52:$K$52</c:f>
              <c:strCache>
                <c:ptCount val="3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'15 Elementos'!$O$55:$Q$55</c:f>
              <c:strCache>
                <c:ptCount val="3"/>
                <c:pt idx="0">
                  <c:v>% Perdida Pro</c:v>
                </c:pt>
                <c:pt idx="1">
                  <c:v>% Perdida MP</c:v>
                </c:pt>
                <c:pt idx="2">
                  <c:v>% Perdida CUDA</c:v>
                </c:pt>
              </c:strCache>
            </c:strRef>
          </c:cat>
          <c:val>
            <c:numRef>
              <c:f>'15 Elementos'!$O$52:$Q$52</c:f>
              <c:numCache>
                <c:formatCode>0.00%</c:formatCode>
                <c:ptCount val="3"/>
                <c:pt idx="0">
                  <c:v>1.0000000000000004E-2</c:v>
                </c:pt>
                <c:pt idx="1">
                  <c:v>1.0000000000000004E-2</c:v>
                </c:pt>
                <c:pt idx="2">
                  <c:v>1.0000000000000004E-2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3C-4FCA-A63B-4E1A58F2E780}"/>
            </c:ext>
          </c:extLst>
        </c:ser>
        <c:ser>
          <c:idx val="2"/>
          <c:order val="2"/>
          <c:tx>
            <c:strRef>
              <c:f>'15 Elementos'!$I$54:$K$54</c:f>
              <c:strCache>
                <c:ptCount val="3"/>
                <c:pt idx="0">
                  <c:v>MAXIMO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'15 Elementos'!$O$55:$Q$55</c:f>
              <c:strCache>
                <c:ptCount val="3"/>
                <c:pt idx="0">
                  <c:v>% Perdida Pro</c:v>
                </c:pt>
                <c:pt idx="1">
                  <c:v>% Perdida MP</c:v>
                </c:pt>
                <c:pt idx="2">
                  <c:v>% Perdida CUDA</c:v>
                </c:pt>
              </c:strCache>
            </c:strRef>
          </c:cat>
          <c:val>
            <c:numRef>
              <c:f>'15 Elementos'!$O$54:$Q$54</c:f>
              <c:numCache>
                <c:formatCode>0.00%</c:formatCode>
                <c:ptCount val="3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3C-4FCA-A63B-4E1A58F2E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447136"/>
        <c:axId val="488450016"/>
      </c:barChart>
      <c:catAx>
        <c:axId val="48844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50016"/>
        <c:crosses val="autoZero"/>
        <c:auto val="1"/>
        <c:lblAlgn val="ctr"/>
        <c:lblOffset val="100"/>
        <c:noMultiLvlLbl val="0"/>
      </c:catAx>
      <c:valAx>
        <c:axId val="4884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</a:t>
            </a:r>
            <a:r>
              <a:rPr lang="es-ES" baseline="0"/>
              <a:t> de SpeedUp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'15 Elementos'!$I$53:$K$53</c:f>
              <c:strCache>
                <c:ptCount val="3"/>
                <c:pt idx="0">
                  <c:v>MINIMO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'15 Elementos'!$R$55:$T$55</c:f>
              <c:strCache>
                <c:ptCount val="3"/>
                <c:pt idx="0">
                  <c:v>SpeedUp Pro (X)</c:v>
                </c:pt>
                <c:pt idx="1">
                  <c:v>SpeedUp MP (X)</c:v>
                </c:pt>
                <c:pt idx="2">
                  <c:v>SpeedUp CUDA (X)</c:v>
                </c:pt>
              </c:strCache>
            </c:strRef>
          </c:cat>
          <c:val>
            <c:numRef>
              <c:f>'15 Elementos'!$R$53:$T$53</c:f>
              <c:numCache>
                <c:formatCode>0.00</c:formatCode>
                <c:ptCount val="3"/>
                <c:pt idx="0">
                  <c:v>-7.09</c:v>
                </c:pt>
                <c:pt idx="1">
                  <c:v>-1161</c:v>
                </c:pt>
                <c:pt idx="2">
                  <c:v>-438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1-4184-8D0B-E00E9F7DD9C7}"/>
            </c:ext>
          </c:extLst>
        </c:ser>
        <c:ser>
          <c:idx val="0"/>
          <c:order val="1"/>
          <c:tx>
            <c:strRef>
              <c:f>'15 Elementos'!$I$52:$K$52</c:f>
              <c:strCache>
                <c:ptCount val="3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'15 Elementos'!$R$55:$T$55</c:f>
              <c:strCache>
                <c:ptCount val="3"/>
                <c:pt idx="0">
                  <c:v>SpeedUp Pro (X)</c:v>
                </c:pt>
                <c:pt idx="1">
                  <c:v>SpeedUp MP (X)</c:v>
                </c:pt>
                <c:pt idx="2">
                  <c:v>SpeedUp CUDA (X)</c:v>
                </c:pt>
              </c:strCache>
            </c:strRef>
          </c:cat>
          <c:val>
            <c:numRef>
              <c:f>'15 Elementos'!$R$52:$T$52</c:f>
              <c:numCache>
                <c:formatCode>0.00</c:formatCode>
                <c:ptCount val="3"/>
                <c:pt idx="0">
                  <c:v>120.13020408163264</c:v>
                </c:pt>
                <c:pt idx="1">
                  <c:v>-152.59755102040819</c:v>
                </c:pt>
                <c:pt idx="2">
                  <c:v>-57.753673469387763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B1-4184-8D0B-E00E9F7DD9C7}"/>
            </c:ext>
          </c:extLst>
        </c:ser>
        <c:ser>
          <c:idx val="2"/>
          <c:order val="2"/>
          <c:tx>
            <c:strRef>
              <c:f>'15 Elementos'!$I$54:$K$54</c:f>
              <c:strCache>
                <c:ptCount val="3"/>
                <c:pt idx="0">
                  <c:v>MAXIMO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'15 Elementos'!$R$55:$T$55</c:f>
              <c:strCache>
                <c:ptCount val="3"/>
                <c:pt idx="0">
                  <c:v>SpeedUp Pro (X)</c:v>
                </c:pt>
                <c:pt idx="1">
                  <c:v>SpeedUp MP (X)</c:v>
                </c:pt>
                <c:pt idx="2">
                  <c:v>SpeedUp CUDA (X)</c:v>
                </c:pt>
              </c:strCache>
            </c:strRef>
          </c:cat>
          <c:val>
            <c:numRef>
              <c:f>'15 Elementos'!$R$54:$T$54</c:f>
              <c:numCache>
                <c:formatCode>0.00</c:formatCode>
                <c:ptCount val="3"/>
                <c:pt idx="0">
                  <c:v>1940</c:v>
                </c:pt>
                <c:pt idx="1">
                  <c:v>-1.88</c:v>
                </c:pt>
                <c:pt idx="2">
                  <c:v>1.1399999999999999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B1-4184-8D0B-E00E9F7DD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447136"/>
        <c:axId val="488450016"/>
      </c:barChart>
      <c:catAx>
        <c:axId val="48844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50016"/>
        <c:crosses val="autoZero"/>
        <c:auto val="1"/>
        <c:lblAlgn val="ctr"/>
        <c:lblOffset val="100"/>
        <c:noMultiLvlLbl val="0"/>
      </c:catAx>
      <c:valAx>
        <c:axId val="4884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Comparativa Perdida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'20 Elementos'!$D$2</c:f>
              <c:strCache>
                <c:ptCount val="1"/>
                <c:pt idx="0">
                  <c:v>Perdida 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 Elementos'!$D$3:$D$51</c:f>
              <c:numCache>
                <c:formatCode>0.00</c:formatCode>
                <c:ptCount val="49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D-4E13-862A-5C2A908D961A}"/>
            </c:ext>
          </c:extLst>
        </c:ser>
        <c:ser>
          <c:idx val="2"/>
          <c:order val="1"/>
          <c:tx>
            <c:strRef>
              <c:f>'20 Elementos'!$G$2</c:f>
              <c:strCache>
                <c:ptCount val="1"/>
                <c:pt idx="0">
                  <c:v>Perdida 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'20 Elementos'!$G$3:$G$51</c:f>
              <c:numCache>
                <c:formatCode>0.00</c:formatCode>
                <c:ptCount val="49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6D-4E13-862A-5C2A908D961A}"/>
            </c:ext>
          </c:extLst>
        </c:ser>
        <c:ser>
          <c:idx val="3"/>
          <c:order val="2"/>
          <c:tx>
            <c:strRef>
              <c:f>'20 Elementos'!$J$2</c:f>
              <c:strCache>
                <c:ptCount val="1"/>
                <c:pt idx="0">
                  <c:v>Perdida 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'20 Elementos'!$J$3:$J$51</c:f>
              <c:numCache>
                <c:formatCode>0.00</c:formatCode>
                <c:ptCount val="49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6D-4E13-862A-5C2A908D961A}"/>
            </c:ext>
          </c:extLst>
        </c:ser>
        <c:ser>
          <c:idx val="0"/>
          <c:order val="3"/>
          <c:tx>
            <c:strRef>
              <c:f>'20 Elementos'!$M$2</c:f>
              <c:strCache>
                <c:ptCount val="1"/>
                <c:pt idx="0">
                  <c:v>Perdida CUDA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 Elementos'!$M$3:$M$51</c:f>
              <c:numCache>
                <c:formatCode>0.00</c:formatCode>
                <c:ptCount val="49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C-4991-BBE3-0B7583FC0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255296"/>
        <c:axId val="599246176"/>
      </c:barChart>
      <c:catAx>
        <c:axId val="59925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46176"/>
        <c:crosses val="autoZero"/>
        <c:auto val="1"/>
        <c:lblAlgn val="ctr"/>
        <c:lblOffset val="100"/>
        <c:noMultiLvlLbl val="0"/>
      </c:catAx>
      <c:valAx>
        <c:axId val="5992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Comparativa Tiempo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'20 Elementos'!$E$2</c:f>
              <c:strCache>
                <c:ptCount val="1"/>
                <c:pt idx="0">
                  <c:v>Tiempo 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 Elementos'!$E$3:$E$51</c:f>
              <c:numCache>
                <c:formatCode>0.00</c:formatCode>
                <c:ptCount val="49"/>
                <c:pt idx="0">
                  <c:v>1083.5999999999999</c:v>
                </c:pt>
                <c:pt idx="1">
                  <c:v>132.16999999999999</c:v>
                </c:pt>
                <c:pt idx="2">
                  <c:v>256.89999999999998</c:v>
                </c:pt>
                <c:pt idx="3">
                  <c:v>139.47</c:v>
                </c:pt>
                <c:pt idx="4">
                  <c:v>4.84</c:v>
                </c:pt>
                <c:pt idx="5">
                  <c:v>3.98</c:v>
                </c:pt>
                <c:pt idx="6">
                  <c:v>10.130000000000001</c:v>
                </c:pt>
                <c:pt idx="7">
                  <c:v>917.21</c:v>
                </c:pt>
                <c:pt idx="8">
                  <c:v>186.09</c:v>
                </c:pt>
                <c:pt idx="9">
                  <c:v>259.45999999999998</c:v>
                </c:pt>
                <c:pt idx="10">
                  <c:v>128.31</c:v>
                </c:pt>
                <c:pt idx="11">
                  <c:v>3.91</c:v>
                </c:pt>
                <c:pt idx="12">
                  <c:v>4.03</c:v>
                </c:pt>
                <c:pt idx="13">
                  <c:v>9.3800000000000008</c:v>
                </c:pt>
                <c:pt idx="14">
                  <c:v>1006.57</c:v>
                </c:pt>
                <c:pt idx="15">
                  <c:v>181.9</c:v>
                </c:pt>
                <c:pt idx="16">
                  <c:v>256.27</c:v>
                </c:pt>
                <c:pt idx="17">
                  <c:v>131.72</c:v>
                </c:pt>
                <c:pt idx="18">
                  <c:v>4.22</c:v>
                </c:pt>
                <c:pt idx="19">
                  <c:v>4.1900000000000004</c:v>
                </c:pt>
                <c:pt idx="20">
                  <c:v>10.35</c:v>
                </c:pt>
                <c:pt idx="21">
                  <c:v>759.19</c:v>
                </c:pt>
                <c:pt idx="22">
                  <c:v>160.5</c:v>
                </c:pt>
                <c:pt idx="23">
                  <c:v>165.16</c:v>
                </c:pt>
                <c:pt idx="24">
                  <c:v>57.56</c:v>
                </c:pt>
                <c:pt idx="25">
                  <c:v>2.95</c:v>
                </c:pt>
                <c:pt idx="26">
                  <c:v>2.9</c:v>
                </c:pt>
                <c:pt idx="27">
                  <c:v>6.51</c:v>
                </c:pt>
                <c:pt idx="28">
                  <c:v>304</c:v>
                </c:pt>
                <c:pt idx="29">
                  <c:v>56.84</c:v>
                </c:pt>
                <c:pt idx="30">
                  <c:v>73.069999999999993</c:v>
                </c:pt>
                <c:pt idx="31">
                  <c:v>33.950000000000003</c:v>
                </c:pt>
                <c:pt idx="32">
                  <c:v>0.94</c:v>
                </c:pt>
                <c:pt idx="33">
                  <c:v>1.1599999999999999</c:v>
                </c:pt>
                <c:pt idx="34">
                  <c:v>2.71</c:v>
                </c:pt>
                <c:pt idx="35">
                  <c:v>332.97</c:v>
                </c:pt>
                <c:pt idx="36">
                  <c:v>49.01</c:v>
                </c:pt>
                <c:pt idx="37">
                  <c:v>92.03</c:v>
                </c:pt>
                <c:pt idx="38">
                  <c:v>31.66</c:v>
                </c:pt>
                <c:pt idx="39">
                  <c:v>1.03</c:v>
                </c:pt>
                <c:pt idx="40">
                  <c:v>0.91</c:v>
                </c:pt>
                <c:pt idx="41">
                  <c:v>2.4300000000000002</c:v>
                </c:pt>
                <c:pt idx="42">
                  <c:v>486.3</c:v>
                </c:pt>
                <c:pt idx="43">
                  <c:v>89.25</c:v>
                </c:pt>
                <c:pt idx="44">
                  <c:v>149.86000000000001</c:v>
                </c:pt>
                <c:pt idx="45">
                  <c:v>67.97</c:v>
                </c:pt>
                <c:pt idx="46">
                  <c:v>1.8</c:v>
                </c:pt>
                <c:pt idx="47">
                  <c:v>1.79</c:v>
                </c:pt>
                <c:pt idx="48">
                  <c:v>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1-40E4-A9ED-30BA872623CA}"/>
            </c:ext>
          </c:extLst>
        </c:ser>
        <c:ser>
          <c:idx val="2"/>
          <c:order val="1"/>
          <c:tx>
            <c:strRef>
              <c:f>'20 Elementos'!$H$2</c:f>
              <c:strCache>
                <c:ptCount val="1"/>
                <c:pt idx="0">
                  <c:v>Tiempo 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'20 Elementos'!$H$3:$H$51</c:f>
              <c:numCache>
                <c:formatCode>0.00</c:formatCode>
                <c:ptCount val="49"/>
                <c:pt idx="0">
                  <c:v>413.19</c:v>
                </c:pt>
                <c:pt idx="1">
                  <c:v>183.79</c:v>
                </c:pt>
                <c:pt idx="2">
                  <c:v>185.45</c:v>
                </c:pt>
                <c:pt idx="3">
                  <c:v>87.71</c:v>
                </c:pt>
                <c:pt idx="4">
                  <c:v>0.23</c:v>
                </c:pt>
                <c:pt idx="5">
                  <c:v>0.21</c:v>
                </c:pt>
                <c:pt idx="6">
                  <c:v>4.58</c:v>
                </c:pt>
                <c:pt idx="7">
                  <c:v>369.4</c:v>
                </c:pt>
                <c:pt idx="8">
                  <c:v>187.88</c:v>
                </c:pt>
                <c:pt idx="9">
                  <c:v>196.76</c:v>
                </c:pt>
                <c:pt idx="10">
                  <c:v>88.09</c:v>
                </c:pt>
                <c:pt idx="11">
                  <c:v>0.2</c:v>
                </c:pt>
                <c:pt idx="12">
                  <c:v>0.2</c:v>
                </c:pt>
                <c:pt idx="13">
                  <c:v>5</c:v>
                </c:pt>
                <c:pt idx="14">
                  <c:v>382.28</c:v>
                </c:pt>
                <c:pt idx="15">
                  <c:v>172.86</c:v>
                </c:pt>
                <c:pt idx="16">
                  <c:v>179.64</c:v>
                </c:pt>
                <c:pt idx="17">
                  <c:v>88.62</c:v>
                </c:pt>
                <c:pt idx="18">
                  <c:v>0.21</c:v>
                </c:pt>
                <c:pt idx="19">
                  <c:v>0.21</c:v>
                </c:pt>
                <c:pt idx="20">
                  <c:v>4.4000000000000004</c:v>
                </c:pt>
                <c:pt idx="21">
                  <c:v>357.04</c:v>
                </c:pt>
                <c:pt idx="22">
                  <c:v>165.32</c:v>
                </c:pt>
                <c:pt idx="23">
                  <c:v>167.27</c:v>
                </c:pt>
                <c:pt idx="24">
                  <c:v>77.709999999999994</c:v>
                </c:pt>
                <c:pt idx="25">
                  <c:v>0.2</c:v>
                </c:pt>
                <c:pt idx="26">
                  <c:v>0.19</c:v>
                </c:pt>
                <c:pt idx="27">
                  <c:v>3.78</c:v>
                </c:pt>
                <c:pt idx="28">
                  <c:v>184</c:v>
                </c:pt>
                <c:pt idx="29">
                  <c:v>92.99</c:v>
                </c:pt>
                <c:pt idx="30">
                  <c:v>93.02</c:v>
                </c:pt>
                <c:pt idx="31">
                  <c:v>44.79</c:v>
                </c:pt>
                <c:pt idx="32">
                  <c:v>0.11</c:v>
                </c:pt>
                <c:pt idx="33">
                  <c:v>0.1</c:v>
                </c:pt>
                <c:pt idx="34">
                  <c:v>2.04</c:v>
                </c:pt>
                <c:pt idx="35">
                  <c:v>190.3</c:v>
                </c:pt>
                <c:pt idx="36">
                  <c:v>91.28</c:v>
                </c:pt>
                <c:pt idx="37">
                  <c:v>92.54</c:v>
                </c:pt>
                <c:pt idx="38">
                  <c:v>44</c:v>
                </c:pt>
                <c:pt idx="39">
                  <c:v>0.12</c:v>
                </c:pt>
                <c:pt idx="40">
                  <c:v>0.11</c:v>
                </c:pt>
                <c:pt idx="41">
                  <c:v>2.17</c:v>
                </c:pt>
                <c:pt idx="42">
                  <c:v>270.38</c:v>
                </c:pt>
                <c:pt idx="43">
                  <c:v>128.24</c:v>
                </c:pt>
                <c:pt idx="44">
                  <c:v>131.30000000000001</c:v>
                </c:pt>
                <c:pt idx="45">
                  <c:v>61.89</c:v>
                </c:pt>
                <c:pt idx="46">
                  <c:v>0.16</c:v>
                </c:pt>
                <c:pt idx="47">
                  <c:v>0.15</c:v>
                </c:pt>
                <c:pt idx="48">
                  <c:v>2.98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31-40E4-A9ED-30BA872623CA}"/>
            </c:ext>
          </c:extLst>
        </c:ser>
        <c:ser>
          <c:idx val="3"/>
          <c:order val="2"/>
          <c:tx>
            <c:strRef>
              <c:f>'20 Elementos'!$K$2</c:f>
              <c:strCache>
                <c:ptCount val="1"/>
                <c:pt idx="0">
                  <c:v>Tiempo 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'20 Elementos'!$K$3:$K$51</c:f>
              <c:numCache>
                <c:formatCode>0.00</c:formatCode>
                <c:ptCount val="49"/>
                <c:pt idx="0">
                  <c:v>88.44</c:v>
                </c:pt>
                <c:pt idx="1">
                  <c:v>45.84</c:v>
                </c:pt>
                <c:pt idx="2">
                  <c:v>46.55</c:v>
                </c:pt>
                <c:pt idx="3">
                  <c:v>27.98</c:v>
                </c:pt>
                <c:pt idx="4">
                  <c:v>11.19</c:v>
                </c:pt>
                <c:pt idx="5">
                  <c:v>11.15</c:v>
                </c:pt>
                <c:pt idx="6">
                  <c:v>12</c:v>
                </c:pt>
                <c:pt idx="7">
                  <c:v>81.78</c:v>
                </c:pt>
                <c:pt idx="8">
                  <c:v>43.9</c:v>
                </c:pt>
                <c:pt idx="9">
                  <c:v>44.22</c:v>
                </c:pt>
                <c:pt idx="10">
                  <c:v>26.84</c:v>
                </c:pt>
                <c:pt idx="11">
                  <c:v>10.97</c:v>
                </c:pt>
                <c:pt idx="12">
                  <c:v>10.93</c:v>
                </c:pt>
                <c:pt idx="13">
                  <c:v>12.01</c:v>
                </c:pt>
                <c:pt idx="14">
                  <c:v>87.78</c:v>
                </c:pt>
                <c:pt idx="15">
                  <c:v>45.03</c:v>
                </c:pt>
                <c:pt idx="16">
                  <c:v>46.98</c:v>
                </c:pt>
                <c:pt idx="17">
                  <c:v>27.63</c:v>
                </c:pt>
                <c:pt idx="18">
                  <c:v>11.85</c:v>
                </c:pt>
                <c:pt idx="19">
                  <c:v>11.49</c:v>
                </c:pt>
                <c:pt idx="20">
                  <c:v>13.97</c:v>
                </c:pt>
                <c:pt idx="21">
                  <c:v>85.94</c:v>
                </c:pt>
                <c:pt idx="22">
                  <c:v>45.53</c:v>
                </c:pt>
                <c:pt idx="23">
                  <c:v>47.75</c:v>
                </c:pt>
                <c:pt idx="24">
                  <c:v>28.47</c:v>
                </c:pt>
                <c:pt idx="25">
                  <c:v>12.08</c:v>
                </c:pt>
                <c:pt idx="26">
                  <c:v>11.31</c:v>
                </c:pt>
                <c:pt idx="27">
                  <c:v>12.4</c:v>
                </c:pt>
                <c:pt idx="28">
                  <c:v>45.14</c:v>
                </c:pt>
                <c:pt idx="29">
                  <c:v>26.94</c:v>
                </c:pt>
                <c:pt idx="30">
                  <c:v>27.81</c:v>
                </c:pt>
                <c:pt idx="31">
                  <c:v>19.57</c:v>
                </c:pt>
                <c:pt idx="32">
                  <c:v>11.32</c:v>
                </c:pt>
                <c:pt idx="33">
                  <c:v>11.28</c:v>
                </c:pt>
                <c:pt idx="34">
                  <c:v>11.57</c:v>
                </c:pt>
                <c:pt idx="35">
                  <c:v>45.12</c:v>
                </c:pt>
                <c:pt idx="36">
                  <c:v>28.5</c:v>
                </c:pt>
                <c:pt idx="37">
                  <c:v>27.16</c:v>
                </c:pt>
                <c:pt idx="38">
                  <c:v>20.6</c:v>
                </c:pt>
                <c:pt idx="39">
                  <c:v>12.28</c:v>
                </c:pt>
                <c:pt idx="40">
                  <c:v>11.94</c:v>
                </c:pt>
                <c:pt idx="41">
                  <c:v>12.39</c:v>
                </c:pt>
                <c:pt idx="42">
                  <c:v>71.040000000000006</c:v>
                </c:pt>
                <c:pt idx="43">
                  <c:v>39.21</c:v>
                </c:pt>
                <c:pt idx="44">
                  <c:v>41.18</c:v>
                </c:pt>
                <c:pt idx="45">
                  <c:v>25.8</c:v>
                </c:pt>
                <c:pt idx="46">
                  <c:v>12.23</c:v>
                </c:pt>
                <c:pt idx="47">
                  <c:v>12.71</c:v>
                </c:pt>
                <c:pt idx="48">
                  <c:v>12.69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31-40E4-A9ED-30BA872623CA}"/>
            </c:ext>
          </c:extLst>
        </c:ser>
        <c:ser>
          <c:idx val="0"/>
          <c:order val="3"/>
          <c:tx>
            <c:strRef>
              <c:f>'20 Elementos'!$N$2</c:f>
              <c:strCache>
                <c:ptCount val="1"/>
                <c:pt idx="0">
                  <c:v>Tiempo CUDA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 Elementos'!$N$3:$N$51</c:f>
              <c:numCache>
                <c:formatCode>0.00</c:formatCode>
                <c:ptCount val="49"/>
                <c:pt idx="0">
                  <c:v>22.07</c:v>
                </c:pt>
                <c:pt idx="1">
                  <c:v>10.99</c:v>
                </c:pt>
                <c:pt idx="2">
                  <c:v>12.18</c:v>
                </c:pt>
                <c:pt idx="3">
                  <c:v>7.63</c:v>
                </c:pt>
                <c:pt idx="4">
                  <c:v>4.21</c:v>
                </c:pt>
                <c:pt idx="5">
                  <c:v>4.45</c:v>
                </c:pt>
                <c:pt idx="6">
                  <c:v>4.57</c:v>
                </c:pt>
                <c:pt idx="7">
                  <c:v>22.28</c:v>
                </c:pt>
                <c:pt idx="8">
                  <c:v>10.98</c:v>
                </c:pt>
                <c:pt idx="9">
                  <c:v>12.18</c:v>
                </c:pt>
                <c:pt idx="10">
                  <c:v>8.4600000000000009</c:v>
                </c:pt>
                <c:pt idx="11">
                  <c:v>4.92</c:v>
                </c:pt>
                <c:pt idx="12">
                  <c:v>4.4000000000000004</c:v>
                </c:pt>
                <c:pt idx="13">
                  <c:v>5.38</c:v>
                </c:pt>
                <c:pt idx="14">
                  <c:v>21.78</c:v>
                </c:pt>
                <c:pt idx="15">
                  <c:v>10.48</c:v>
                </c:pt>
                <c:pt idx="16">
                  <c:v>11.78</c:v>
                </c:pt>
                <c:pt idx="17">
                  <c:v>7.4</c:v>
                </c:pt>
                <c:pt idx="18">
                  <c:v>4.57</c:v>
                </c:pt>
                <c:pt idx="19">
                  <c:v>4.83</c:v>
                </c:pt>
                <c:pt idx="20">
                  <c:v>4.49</c:v>
                </c:pt>
                <c:pt idx="21">
                  <c:v>19.43</c:v>
                </c:pt>
                <c:pt idx="22">
                  <c:v>9.83</c:v>
                </c:pt>
                <c:pt idx="23">
                  <c:v>11.25</c:v>
                </c:pt>
                <c:pt idx="24">
                  <c:v>8.67</c:v>
                </c:pt>
                <c:pt idx="25">
                  <c:v>4.51</c:v>
                </c:pt>
                <c:pt idx="26">
                  <c:v>4.67</c:v>
                </c:pt>
                <c:pt idx="27">
                  <c:v>4.3899999999999997</c:v>
                </c:pt>
                <c:pt idx="28">
                  <c:v>10.1</c:v>
                </c:pt>
                <c:pt idx="29">
                  <c:v>7.44</c:v>
                </c:pt>
                <c:pt idx="30">
                  <c:v>7.4</c:v>
                </c:pt>
                <c:pt idx="31">
                  <c:v>5.96</c:v>
                </c:pt>
                <c:pt idx="32">
                  <c:v>4.8899999999999997</c:v>
                </c:pt>
                <c:pt idx="33">
                  <c:v>4.4400000000000004</c:v>
                </c:pt>
                <c:pt idx="34">
                  <c:v>4.42</c:v>
                </c:pt>
                <c:pt idx="35">
                  <c:v>10.98</c:v>
                </c:pt>
                <c:pt idx="36">
                  <c:v>6.93</c:v>
                </c:pt>
                <c:pt idx="37">
                  <c:v>7.46</c:v>
                </c:pt>
                <c:pt idx="38">
                  <c:v>5.72</c:v>
                </c:pt>
                <c:pt idx="39">
                  <c:v>4.3499999999999996</c:v>
                </c:pt>
                <c:pt idx="40">
                  <c:v>4.53</c:v>
                </c:pt>
                <c:pt idx="41">
                  <c:v>4.5</c:v>
                </c:pt>
                <c:pt idx="42">
                  <c:v>15.01</c:v>
                </c:pt>
                <c:pt idx="43">
                  <c:v>8.39</c:v>
                </c:pt>
                <c:pt idx="44">
                  <c:v>8.75</c:v>
                </c:pt>
                <c:pt idx="45">
                  <c:v>8.75</c:v>
                </c:pt>
                <c:pt idx="46">
                  <c:v>4.5999999999999996</c:v>
                </c:pt>
                <c:pt idx="47">
                  <c:v>4.6100000000000003</c:v>
                </c:pt>
                <c:pt idx="48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7-4E0E-B9E0-11A1BC067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255296"/>
        <c:axId val="599246176"/>
      </c:barChart>
      <c:catAx>
        <c:axId val="5992552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46176"/>
        <c:crosses val="autoZero"/>
        <c:auto val="1"/>
        <c:lblAlgn val="ctr"/>
        <c:lblOffset val="100"/>
        <c:noMultiLvlLbl val="0"/>
      </c:catAx>
      <c:valAx>
        <c:axId val="5992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</a:t>
            </a:r>
            <a:r>
              <a:rPr lang="es-ES" baseline="0"/>
              <a:t> de Perdida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'20 Elementos'!$I$53:$K$53</c:f>
              <c:strCache>
                <c:ptCount val="3"/>
                <c:pt idx="0">
                  <c:v>MINIMO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 Elementos'!$O$55:$S$55</c:f>
              <c:strCache>
                <c:ptCount val="5"/>
                <c:pt idx="0">
                  <c:v>% Perdida Pro</c:v>
                </c:pt>
                <c:pt idx="1">
                  <c:v>% Perdida MP</c:v>
                </c:pt>
                <c:pt idx="2">
                  <c:v>% Perdida CUDA</c:v>
                </c:pt>
                <c:pt idx="3">
                  <c:v>SpeedUp Pro (X)</c:v>
                </c:pt>
                <c:pt idx="4">
                  <c:v>SpeedUp MP (X)</c:v>
                </c:pt>
              </c:strCache>
            </c:strRef>
          </c:cat>
          <c:val>
            <c:numRef>
              <c:f>'20 Elementos'!$O$53:$Q$53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E-4A5D-817C-DD23EC0FFE56}"/>
            </c:ext>
          </c:extLst>
        </c:ser>
        <c:ser>
          <c:idx val="0"/>
          <c:order val="1"/>
          <c:tx>
            <c:strRef>
              <c:f>'20 Elementos'!$I$52:$K$52</c:f>
              <c:strCache>
                <c:ptCount val="3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 Elementos'!$O$55:$S$55</c:f>
              <c:strCache>
                <c:ptCount val="5"/>
                <c:pt idx="0">
                  <c:v>% Perdida Pro</c:v>
                </c:pt>
                <c:pt idx="1">
                  <c:v>% Perdida MP</c:v>
                </c:pt>
                <c:pt idx="2">
                  <c:v>% Perdida CUDA</c:v>
                </c:pt>
                <c:pt idx="3">
                  <c:v>SpeedUp Pro (X)</c:v>
                </c:pt>
                <c:pt idx="4">
                  <c:v>SpeedUp MP (X)</c:v>
                </c:pt>
              </c:strCache>
            </c:strRef>
          </c:cat>
          <c:val>
            <c:numRef>
              <c:f>'20 Elementos'!$O$52:$Q$52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E-4A5D-817C-DD23EC0FFE56}"/>
            </c:ext>
          </c:extLst>
        </c:ser>
        <c:ser>
          <c:idx val="2"/>
          <c:order val="2"/>
          <c:tx>
            <c:strRef>
              <c:f>'20 Elementos'!$I$54:$K$54</c:f>
              <c:strCache>
                <c:ptCount val="3"/>
                <c:pt idx="0">
                  <c:v>MAXIMO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 Elementos'!$O$55:$S$55</c:f>
              <c:strCache>
                <c:ptCount val="5"/>
                <c:pt idx="0">
                  <c:v>% Perdida Pro</c:v>
                </c:pt>
                <c:pt idx="1">
                  <c:v>% Perdida MP</c:v>
                </c:pt>
                <c:pt idx="2">
                  <c:v>% Perdida CUDA</c:v>
                </c:pt>
                <c:pt idx="3">
                  <c:v>SpeedUp Pro (X)</c:v>
                </c:pt>
                <c:pt idx="4">
                  <c:v>SpeedUp MP (X)</c:v>
                </c:pt>
              </c:strCache>
            </c:strRef>
          </c:cat>
          <c:val>
            <c:numRef>
              <c:f>'20 Elementos'!$O$54:$Q$54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AE-4A5D-817C-DD23EC0F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447136"/>
        <c:axId val="488450016"/>
      </c:barChart>
      <c:catAx>
        <c:axId val="48844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50016"/>
        <c:crosses val="autoZero"/>
        <c:auto val="1"/>
        <c:lblAlgn val="ctr"/>
        <c:lblOffset val="100"/>
        <c:noMultiLvlLbl val="0"/>
      </c:catAx>
      <c:valAx>
        <c:axId val="4884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</a:t>
            </a:r>
            <a:r>
              <a:rPr lang="es-ES" baseline="0"/>
              <a:t> de SpeedUp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'20 Elementos'!$I$53:$K$53</c:f>
              <c:strCache>
                <c:ptCount val="3"/>
                <c:pt idx="0">
                  <c:v>MINIMO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 Elementos'!$R$55:$U$55</c:f>
              <c:strCache>
                <c:ptCount val="4"/>
                <c:pt idx="0">
                  <c:v>SpeedUp Pro (X)</c:v>
                </c:pt>
                <c:pt idx="1">
                  <c:v>SpeedUp MP (X)</c:v>
                </c:pt>
                <c:pt idx="2">
                  <c:v>MP vs Q (X)</c:v>
                </c:pt>
                <c:pt idx="3">
                  <c:v>SpeedUp CUDA (X)</c:v>
                </c:pt>
              </c:strCache>
            </c:strRef>
          </c:cat>
          <c:val>
            <c:numRef>
              <c:f>'20 Elementos'!$R$53:$U$53</c:f>
              <c:numCache>
                <c:formatCode>0.00</c:formatCode>
                <c:ptCount val="4"/>
                <c:pt idx="0">
                  <c:v>-1.86</c:v>
                </c:pt>
                <c:pt idx="1">
                  <c:v>-112.8</c:v>
                </c:pt>
                <c:pt idx="2">
                  <c:v>-13.12</c:v>
                </c:pt>
                <c:pt idx="3">
                  <c:v>-44.45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D-4CD4-AC86-C346EF08524B}"/>
            </c:ext>
          </c:extLst>
        </c:ser>
        <c:ser>
          <c:idx val="0"/>
          <c:order val="1"/>
          <c:tx>
            <c:strRef>
              <c:f>'20 Elementos'!$I$52:$K$52</c:f>
              <c:strCache>
                <c:ptCount val="3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 Elementos'!$R$55:$U$55</c:f>
              <c:strCache>
                <c:ptCount val="4"/>
                <c:pt idx="0">
                  <c:v>SpeedUp Pro (X)</c:v>
                </c:pt>
                <c:pt idx="1">
                  <c:v>SpeedUp MP (X)</c:v>
                </c:pt>
                <c:pt idx="2">
                  <c:v>MP vs Q (X)</c:v>
                </c:pt>
                <c:pt idx="3">
                  <c:v>SpeedUp CUDA (X)</c:v>
                </c:pt>
              </c:strCache>
            </c:strRef>
          </c:cat>
          <c:val>
            <c:numRef>
              <c:f>'20 Elementos'!$R$52:$U$52</c:f>
              <c:numCache>
                <c:formatCode>0.00</c:formatCode>
                <c:ptCount val="4"/>
                <c:pt idx="0">
                  <c:v>4.7626530612244906</c:v>
                </c:pt>
                <c:pt idx="1">
                  <c:v>-19.527551020408161</c:v>
                </c:pt>
                <c:pt idx="2">
                  <c:v>0.71836734693877524</c:v>
                </c:pt>
                <c:pt idx="3">
                  <c:v>-0.25183673469387763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ED-4CD4-AC86-C346EF08524B}"/>
            </c:ext>
          </c:extLst>
        </c:ser>
        <c:ser>
          <c:idx val="2"/>
          <c:order val="2"/>
          <c:tx>
            <c:strRef>
              <c:f>'20 Elementos'!$I$54:$K$54</c:f>
              <c:strCache>
                <c:ptCount val="3"/>
                <c:pt idx="0">
                  <c:v>MAXIMO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 Elementos'!$R$55:$U$55</c:f>
              <c:strCache>
                <c:ptCount val="4"/>
                <c:pt idx="0">
                  <c:v>SpeedUp Pro (X)</c:v>
                </c:pt>
                <c:pt idx="1">
                  <c:v>SpeedUp MP (X)</c:v>
                </c:pt>
                <c:pt idx="2">
                  <c:v>MP vs Q (X)</c:v>
                </c:pt>
                <c:pt idx="3">
                  <c:v>SpeedUp CUDA (X)</c:v>
                </c:pt>
              </c:strCache>
            </c:strRef>
          </c:cat>
          <c:val>
            <c:numRef>
              <c:f>'20 Elementos'!$R$54:$U$54</c:f>
              <c:numCache>
                <c:formatCode>0.00</c:formatCode>
                <c:ptCount val="4"/>
                <c:pt idx="0">
                  <c:v>21.04</c:v>
                </c:pt>
                <c:pt idx="1">
                  <c:v>4.67</c:v>
                </c:pt>
                <c:pt idx="2">
                  <c:v>12.25</c:v>
                </c:pt>
                <c:pt idx="3">
                  <c:v>18.72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ED-4CD4-AC86-C346EF08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447136"/>
        <c:axId val="488450016"/>
      </c:barChart>
      <c:catAx>
        <c:axId val="48844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50016"/>
        <c:crosses val="autoZero"/>
        <c:auto val="1"/>
        <c:lblAlgn val="ctr"/>
        <c:lblOffset val="100"/>
        <c:noMultiLvlLbl val="0"/>
      </c:catAx>
      <c:valAx>
        <c:axId val="4884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Comparativa Tiempo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'21 Elementos'!$E$2</c:f>
              <c:strCache>
                <c:ptCount val="1"/>
                <c:pt idx="0">
                  <c:v>Tiempo 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'21 Elementos'!$A$3:$A$51</c15:sqref>
                  </c15:fullRef>
                </c:ext>
              </c:extLst>
              <c:f>'21 Elementos'!$A$3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 Elementos'!$E$3:$E$51</c15:sqref>
                  </c15:fullRef>
                </c:ext>
              </c:extLst>
              <c:f>'21 Elementos'!$E$3</c:f>
              <c:numCache>
                <c:formatCode>0.00</c:formatCode>
                <c:ptCount val="1"/>
                <c:pt idx="0">
                  <c:v>869.86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2-4731-9A86-1A1C3C518F3B}"/>
            </c:ext>
          </c:extLst>
        </c:ser>
        <c:ser>
          <c:idx val="3"/>
          <c:order val="1"/>
          <c:tx>
            <c:strRef>
              <c:f>'21 Elementos'!$H$2</c:f>
              <c:strCache>
                <c:ptCount val="1"/>
                <c:pt idx="0">
                  <c:v>Tiempo 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'21 Elementos'!$A$3:$A$51</c15:sqref>
                  </c15:fullRef>
                </c:ext>
              </c:extLst>
              <c:f>'21 Elementos'!$A$3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 Elementos'!$H$3:$H$51</c15:sqref>
                  </c15:fullRef>
                </c:ext>
              </c:extLst>
              <c:f>'21 Elementos'!$H$3</c:f>
              <c:numCache>
                <c:formatCode>0.00</c:formatCode>
                <c:ptCount val="1"/>
                <c:pt idx="0">
                  <c:v>172.66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42-4731-9A86-1A1C3C518F3B}"/>
            </c:ext>
          </c:extLst>
        </c:ser>
        <c:ser>
          <c:idx val="0"/>
          <c:order val="2"/>
          <c:tx>
            <c:strRef>
              <c:f>'21 Elementos'!$K$2</c:f>
              <c:strCache>
                <c:ptCount val="1"/>
                <c:pt idx="0">
                  <c:v>Tiempo CUDA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'21 Elementos'!$A$3:$A$51</c15:sqref>
                  </c15:fullRef>
                </c:ext>
              </c:extLst>
              <c:f>'21 Elementos'!$A$3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 Elementos'!$K$3:$K$51</c15:sqref>
                  </c15:fullRef>
                </c:ext>
              </c:extLst>
              <c:f>'21 Elementos'!$K$3</c:f>
              <c:numCache>
                <c:formatCode>0.00</c:formatCode>
                <c:ptCount val="1"/>
                <c:pt idx="0">
                  <c:v>44.95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42-4731-9A86-1A1C3C518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255296"/>
        <c:axId val="599246176"/>
      </c:barChart>
      <c:catAx>
        <c:axId val="59925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46176"/>
        <c:crosses val="autoZero"/>
        <c:auto val="1"/>
        <c:lblAlgn val="ctr"/>
        <c:lblOffset val="100"/>
        <c:noMultiLvlLbl val="0"/>
      </c:catAx>
      <c:valAx>
        <c:axId val="5992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</a:t>
            </a:r>
            <a:r>
              <a:rPr lang="es-ES" baseline="0"/>
              <a:t> de SpeedUp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'21 Elementos'!$F$53:$H$53</c:f>
              <c:strCache>
                <c:ptCount val="3"/>
                <c:pt idx="0">
                  <c:v>MINIMO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'21 Elementos'!$L$55:$M$55</c:f>
              <c:strCache>
                <c:ptCount val="2"/>
                <c:pt idx="0">
                  <c:v>SpeedUp MP (X)</c:v>
                </c:pt>
                <c:pt idx="1">
                  <c:v>SpeedUp CUDA (X)</c:v>
                </c:pt>
              </c:strCache>
            </c:strRef>
          </c:cat>
          <c:val>
            <c:numRef>
              <c:f>'21 Elementos'!$L$53:$M$53</c:f>
              <c:numCache>
                <c:formatCode>0.00</c:formatCode>
                <c:ptCount val="2"/>
                <c:pt idx="0">
                  <c:v>-85.82</c:v>
                </c:pt>
                <c:pt idx="1">
                  <c:v>-36.82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1-4C51-AAE9-7247B0D4FA0D}"/>
            </c:ext>
          </c:extLst>
        </c:ser>
        <c:ser>
          <c:idx val="0"/>
          <c:order val="1"/>
          <c:tx>
            <c:strRef>
              <c:f>'21 Elementos'!$F$52:$H$52</c:f>
              <c:strCache>
                <c:ptCount val="3"/>
                <c:pt idx="0">
                  <c:v>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'21 Elementos'!$L$55:$M$55</c:f>
              <c:strCache>
                <c:ptCount val="2"/>
                <c:pt idx="0">
                  <c:v>SpeedUp MP (X)</c:v>
                </c:pt>
                <c:pt idx="1">
                  <c:v>SpeedUp CUDA (X)</c:v>
                </c:pt>
              </c:strCache>
            </c:strRef>
          </c:cat>
          <c:val>
            <c:numRef>
              <c:f>'21 Elementos'!$L$52:$M$52</c:f>
              <c:numCache>
                <c:formatCode>0.00</c:formatCode>
                <c:ptCount val="2"/>
                <c:pt idx="0">
                  <c:v>-9.2534693877551017</c:v>
                </c:pt>
                <c:pt idx="1">
                  <c:v>7.8506122448979614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E1-4C51-AAE9-7247B0D4FA0D}"/>
            </c:ext>
          </c:extLst>
        </c:ser>
        <c:ser>
          <c:idx val="2"/>
          <c:order val="2"/>
          <c:tx>
            <c:strRef>
              <c:f>'21 Elementos'!$F$54:$H$54</c:f>
              <c:strCache>
                <c:ptCount val="3"/>
                <c:pt idx="0">
                  <c:v>MAXIMO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'21 Elementos'!$L$55:$M$55</c:f>
              <c:strCache>
                <c:ptCount val="2"/>
                <c:pt idx="0">
                  <c:v>SpeedUp MP (X)</c:v>
                </c:pt>
                <c:pt idx="1">
                  <c:v>SpeedUp CUDA (X)</c:v>
                </c:pt>
              </c:strCache>
            </c:strRef>
          </c:cat>
          <c:val>
            <c:numRef>
              <c:f>'21 Elementos'!$L$54:$M$54</c:f>
              <c:numCache>
                <c:formatCode>0.00</c:formatCode>
                <c:ptCount val="2"/>
                <c:pt idx="0">
                  <c:v>6.01</c:v>
                </c:pt>
                <c:pt idx="1">
                  <c:v>46.86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E1-4C51-AAE9-7247B0D4F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447136"/>
        <c:axId val="488450016"/>
      </c:barChart>
      <c:catAx>
        <c:axId val="48844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50016"/>
        <c:crosses val="autoZero"/>
        <c:auto val="1"/>
        <c:lblAlgn val="ctr"/>
        <c:lblOffset val="100"/>
        <c:noMultiLvlLbl val="0"/>
      </c:catAx>
      <c:valAx>
        <c:axId val="4884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4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</xdr:colOff>
      <xdr:row>2</xdr:row>
      <xdr:rowOff>9525</xdr:rowOff>
    </xdr:from>
    <xdr:to>
      <xdr:col>35</xdr:col>
      <xdr:colOff>361950</xdr:colOff>
      <xdr:row>12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81D241-19D3-4E72-BC1E-14BDF3275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13</xdr:row>
      <xdr:rowOff>0</xdr:rowOff>
    </xdr:from>
    <xdr:to>
      <xdr:col>35</xdr:col>
      <xdr:colOff>342900</xdr:colOff>
      <xdr:row>23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094BA4-F89F-4854-941E-4A4D8C763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33336</xdr:colOff>
      <xdr:row>24</xdr:row>
      <xdr:rowOff>9525</xdr:rowOff>
    </xdr:from>
    <xdr:to>
      <xdr:col>28</xdr:col>
      <xdr:colOff>-1</xdr:colOff>
      <xdr:row>33</xdr:row>
      <xdr:rowOff>-1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A36E750-5368-4AF5-B698-633AF0E16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452437</xdr:colOff>
      <xdr:row>24</xdr:row>
      <xdr:rowOff>4764</xdr:rowOff>
    </xdr:from>
    <xdr:to>
      <xdr:col>35</xdr:col>
      <xdr:colOff>276225</xdr:colOff>
      <xdr:row>33</xdr:row>
      <xdr:rowOff>23812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8228A95-7F46-4EAD-A58E-395D11AC6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2</xdr:row>
      <xdr:rowOff>9525</xdr:rowOff>
    </xdr:from>
    <xdr:to>
      <xdr:col>30</xdr:col>
      <xdr:colOff>361950</xdr:colOff>
      <xdr:row>12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56E55F-A8F5-8505-1A47-C2A079936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13</xdr:row>
      <xdr:rowOff>0</xdr:rowOff>
    </xdr:from>
    <xdr:to>
      <xdr:col>30</xdr:col>
      <xdr:colOff>342900</xdr:colOff>
      <xdr:row>23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FA0F77-3EEE-4385-805A-5165EE574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33336</xdr:colOff>
      <xdr:row>24</xdr:row>
      <xdr:rowOff>9525</xdr:rowOff>
    </xdr:from>
    <xdr:to>
      <xdr:col>23</xdr:col>
      <xdr:colOff>-1</xdr:colOff>
      <xdr:row>33</xdr:row>
      <xdr:rowOff>-1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A4AF545-EBB7-C7DC-F2D2-11D769208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452437</xdr:colOff>
      <xdr:row>24</xdr:row>
      <xdr:rowOff>4764</xdr:rowOff>
    </xdr:from>
    <xdr:to>
      <xdr:col>30</xdr:col>
      <xdr:colOff>276225</xdr:colOff>
      <xdr:row>33</xdr:row>
      <xdr:rowOff>23812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A234005-B0B6-46E9-9E02-3D38EAD32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2</xdr:row>
      <xdr:rowOff>9525</xdr:rowOff>
    </xdr:from>
    <xdr:to>
      <xdr:col>30</xdr:col>
      <xdr:colOff>361950</xdr:colOff>
      <xdr:row>12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ED0CDD-EB1A-4B3B-88C9-E6826474C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13</xdr:row>
      <xdr:rowOff>0</xdr:rowOff>
    </xdr:from>
    <xdr:to>
      <xdr:col>30</xdr:col>
      <xdr:colOff>342900</xdr:colOff>
      <xdr:row>23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952A8D-17A3-4A15-B32A-DBE3013F3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33336</xdr:colOff>
      <xdr:row>24</xdr:row>
      <xdr:rowOff>9525</xdr:rowOff>
    </xdr:from>
    <xdr:to>
      <xdr:col>23</xdr:col>
      <xdr:colOff>-1</xdr:colOff>
      <xdr:row>33</xdr:row>
      <xdr:rowOff>-1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68221ED-B8CB-458B-9329-A27A29176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452437</xdr:colOff>
      <xdr:row>24</xdr:row>
      <xdr:rowOff>4764</xdr:rowOff>
    </xdr:from>
    <xdr:to>
      <xdr:col>30</xdr:col>
      <xdr:colOff>276225</xdr:colOff>
      <xdr:row>33</xdr:row>
      <xdr:rowOff>23812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F8AAD8E-60C9-447C-9D4D-328E0F272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2</xdr:row>
      <xdr:rowOff>9525</xdr:rowOff>
    </xdr:from>
    <xdr:to>
      <xdr:col>30</xdr:col>
      <xdr:colOff>361950</xdr:colOff>
      <xdr:row>12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1CBF2B-53FC-409B-B506-90F8B5C8F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13</xdr:row>
      <xdr:rowOff>0</xdr:rowOff>
    </xdr:from>
    <xdr:to>
      <xdr:col>30</xdr:col>
      <xdr:colOff>342900</xdr:colOff>
      <xdr:row>23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3A2BD6-B4F1-4C08-A2C2-29D0D0C13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33336</xdr:colOff>
      <xdr:row>24</xdr:row>
      <xdr:rowOff>9525</xdr:rowOff>
    </xdr:from>
    <xdr:to>
      <xdr:col>23</xdr:col>
      <xdr:colOff>-1</xdr:colOff>
      <xdr:row>33</xdr:row>
      <xdr:rowOff>-1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2BA8F18-3F5F-46FD-9B64-FA5A70F88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452437</xdr:colOff>
      <xdr:row>24</xdr:row>
      <xdr:rowOff>4764</xdr:rowOff>
    </xdr:from>
    <xdr:to>
      <xdr:col>30</xdr:col>
      <xdr:colOff>276225</xdr:colOff>
      <xdr:row>33</xdr:row>
      <xdr:rowOff>23812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8633122-7D71-4FDF-9ADD-38C352762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</xdr:colOff>
      <xdr:row>2</xdr:row>
      <xdr:rowOff>9525</xdr:rowOff>
    </xdr:from>
    <xdr:to>
      <xdr:col>35</xdr:col>
      <xdr:colOff>361950</xdr:colOff>
      <xdr:row>12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7611EE-1324-494A-BAEF-099818CC8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13</xdr:row>
      <xdr:rowOff>0</xdr:rowOff>
    </xdr:from>
    <xdr:to>
      <xdr:col>35</xdr:col>
      <xdr:colOff>342900</xdr:colOff>
      <xdr:row>23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8C4EDC8-1DEC-475E-8A37-F0C2F8070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33336</xdr:colOff>
      <xdr:row>24</xdr:row>
      <xdr:rowOff>9525</xdr:rowOff>
    </xdr:from>
    <xdr:to>
      <xdr:col>28</xdr:col>
      <xdr:colOff>-1</xdr:colOff>
      <xdr:row>33</xdr:row>
      <xdr:rowOff>-1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822D25A-DBBF-448A-80D8-9694B657E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452437</xdr:colOff>
      <xdr:row>24</xdr:row>
      <xdr:rowOff>4764</xdr:rowOff>
    </xdr:from>
    <xdr:to>
      <xdr:col>35</xdr:col>
      <xdr:colOff>276225</xdr:colOff>
      <xdr:row>33</xdr:row>
      <xdr:rowOff>23812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71D5650-F6AE-4D10-8F1A-FD7ED2C04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19050</xdr:colOff>
      <xdr:row>2</xdr:row>
      <xdr:rowOff>9525</xdr:rowOff>
    </xdr:from>
    <xdr:to>
      <xdr:col>37</xdr:col>
      <xdr:colOff>361950</xdr:colOff>
      <xdr:row>12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25DA96-0382-4A82-A00D-2A320FEFB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13</xdr:row>
      <xdr:rowOff>0</xdr:rowOff>
    </xdr:from>
    <xdr:to>
      <xdr:col>37</xdr:col>
      <xdr:colOff>342900</xdr:colOff>
      <xdr:row>23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5EC493-82CD-4925-B99B-0A3576C2D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33336</xdr:colOff>
      <xdr:row>24</xdr:row>
      <xdr:rowOff>9525</xdr:rowOff>
    </xdr:from>
    <xdr:to>
      <xdr:col>30</xdr:col>
      <xdr:colOff>-1</xdr:colOff>
      <xdr:row>33</xdr:row>
      <xdr:rowOff>-1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D5ACE0-B8C0-4E25-A1C9-5526A0FE0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452437</xdr:colOff>
      <xdr:row>24</xdr:row>
      <xdr:rowOff>4764</xdr:rowOff>
    </xdr:from>
    <xdr:to>
      <xdr:col>37</xdr:col>
      <xdr:colOff>276225</xdr:colOff>
      <xdr:row>33</xdr:row>
      <xdr:rowOff>23812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794872A-B0AC-4731-84C3-CADFF6756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750794</xdr:colOff>
      <xdr:row>1</xdr:row>
      <xdr:rowOff>11206</xdr:rowOff>
    </xdr:from>
    <xdr:to>
      <xdr:col>28</xdr:col>
      <xdr:colOff>342900</xdr:colOff>
      <xdr:row>15</xdr:row>
      <xdr:rowOff>340179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31437B4-84C8-4BE1-A4CB-42FA792B8F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4201</xdr:colOff>
      <xdr:row>17</xdr:row>
      <xdr:rowOff>28575</xdr:rowOff>
    </xdr:from>
    <xdr:to>
      <xdr:col>28</xdr:col>
      <xdr:colOff>347382</xdr:colOff>
      <xdr:row>31</xdr:row>
      <xdr:rowOff>333374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5E07F29-FF5B-4DBE-BB91-040D9DDED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38099</xdr:colOff>
      <xdr:row>1</xdr:row>
      <xdr:rowOff>19049</xdr:rowOff>
    </xdr:from>
    <xdr:to>
      <xdr:col>16</xdr:col>
      <xdr:colOff>390524</xdr:colOff>
      <xdr:row>8</xdr:row>
      <xdr:rowOff>33337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1A581F-6D87-F2BB-3E87-F1A52AA1B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4" y="295274"/>
          <a:ext cx="4162425" cy="2081213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104775</xdr:colOff>
      <xdr:row>8</xdr:row>
      <xdr:rowOff>66676</xdr:rowOff>
    </xdr:from>
    <xdr:to>
      <xdr:col>16</xdr:col>
      <xdr:colOff>400050</xdr:colOff>
      <xdr:row>15</xdr:row>
      <xdr:rowOff>176214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E800899-F435-BC5B-EA3A-49B471108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2409826"/>
          <a:ext cx="4105275" cy="2052638"/>
        </a:xfrm>
        <a:prstGeom prst="rect">
          <a:avLst/>
        </a:prstGeom>
      </xdr:spPr>
    </xdr:pic>
    <xdr:clientData/>
  </xdr:twoCellAnchor>
  <xdr:twoCellAnchor editAs="oneCell">
    <xdr:from>
      <xdr:col>16</xdr:col>
      <xdr:colOff>428625</xdr:colOff>
      <xdr:row>1</xdr:row>
      <xdr:rowOff>38100</xdr:rowOff>
    </xdr:from>
    <xdr:to>
      <xdr:col>21</xdr:col>
      <xdr:colOff>704850</xdr:colOff>
      <xdr:row>7</xdr:row>
      <xdr:rowOff>233363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2A78023-8FE6-75C4-7012-E5BA38131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30050" y="314325"/>
          <a:ext cx="4086225" cy="1995488"/>
        </a:xfrm>
        <a:prstGeom prst="rect">
          <a:avLst/>
        </a:prstGeom>
      </xdr:spPr>
    </xdr:pic>
    <xdr:clientData/>
  </xdr:twoCellAnchor>
  <xdr:twoCellAnchor editAs="oneCell">
    <xdr:from>
      <xdr:col>16</xdr:col>
      <xdr:colOff>342898</xdr:colOff>
      <xdr:row>8</xdr:row>
      <xdr:rowOff>38100</xdr:rowOff>
    </xdr:from>
    <xdr:to>
      <xdr:col>21</xdr:col>
      <xdr:colOff>676275</xdr:colOff>
      <xdr:row>15</xdr:row>
      <xdr:rowOff>166689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8C36850-59E2-80B1-3176-6748201FE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4323" y="2381250"/>
          <a:ext cx="4143377" cy="2071689"/>
        </a:xfrm>
        <a:prstGeom prst="rect">
          <a:avLst/>
        </a:prstGeom>
      </xdr:spPr>
    </xdr:pic>
    <xdr:clientData/>
  </xdr:twoCellAnchor>
  <xdr:twoCellAnchor editAs="oneCell">
    <xdr:from>
      <xdr:col>11</xdr:col>
      <xdr:colOff>393326</xdr:colOff>
      <xdr:row>18</xdr:row>
      <xdr:rowOff>106455</xdr:rowOff>
    </xdr:from>
    <xdr:to>
      <xdr:col>21</xdr:col>
      <xdr:colOff>369794</xdr:colOff>
      <xdr:row>34</xdr:row>
      <xdr:rowOff>185403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5002904-2EB9-7D76-BE28-294C0E429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9708" y="5261161"/>
          <a:ext cx="7596468" cy="3800421"/>
        </a:xfrm>
        <a:prstGeom prst="rect">
          <a:avLst/>
        </a:prstGeom>
      </xdr:spPr>
    </xdr:pic>
    <xdr:clientData/>
  </xdr:twoCellAnchor>
  <xdr:twoCellAnchor editAs="oneCell">
    <xdr:from>
      <xdr:col>11</xdr:col>
      <xdr:colOff>415738</xdr:colOff>
      <xdr:row>38</xdr:row>
      <xdr:rowOff>62751</xdr:rowOff>
    </xdr:from>
    <xdr:to>
      <xdr:col>21</xdr:col>
      <xdr:colOff>403412</xdr:colOff>
      <xdr:row>58</xdr:row>
      <xdr:rowOff>8963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A44EF58-F8FE-F776-7251-1175C3FE7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2120" y="9229163"/>
          <a:ext cx="7607674" cy="3803837"/>
        </a:xfrm>
        <a:prstGeom prst="rect">
          <a:avLst/>
        </a:prstGeom>
      </xdr:spPr>
    </xdr:pic>
    <xdr:clientData/>
  </xdr:twoCellAnchor>
  <xdr:twoCellAnchor editAs="oneCell">
    <xdr:from>
      <xdr:col>23</xdr:col>
      <xdr:colOff>324971</xdr:colOff>
      <xdr:row>1</xdr:row>
      <xdr:rowOff>112059</xdr:rowOff>
    </xdr:from>
    <xdr:to>
      <xdr:col>33</xdr:col>
      <xdr:colOff>477371</xdr:colOff>
      <xdr:row>14</xdr:row>
      <xdr:rowOff>233082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F9EB7D6-0B5F-33DE-9D90-68F9F9E7D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5353" y="392206"/>
          <a:ext cx="7772400" cy="3886200"/>
        </a:xfrm>
        <a:prstGeom prst="rect">
          <a:avLst/>
        </a:prstGeom>
      </xdr:spPr>
    </xdr:pic>
    <xdr:clientData/>
  </xdr:twoCellAnchor>
  <xdr:twoCellAnchor editAs="oneCell">
    <xdr:from>
      <xdr:col>23</xdr:col>
      <xdr:colOff>369794</xdr:colOff>
      <xdr:row>15</xdr:row>
      <xdr:rowOff>78441</xdr:rowOff>
    </xdr:from>
    <xdr:to>
      <xdr:col>33</xdr:col>
      <xdr:colOff>522194</xdr:colOff>
      <xdr:row>31</xdr:row>
      <xdr:rowOff>80682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0026F4A-4F5A-042F-47BF-7B0ABFEB1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4392706"/>
          <a:ext cx="7772400" cy="3886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004B-D669-449E-964B-7A90F424AC1A}">
  <dimension ref="A1:T56"/>
  <sheetViews>
    <sheetView zoomScale="85" zoomScaleNormal="85" workbookViewId="0">
      <selection activeCell="X52" sqref="X52"/>
    </sheetView>
  </sheetViews>
  <sheetFormatPr baseColWidth="10" defaultRowHeight="15"/>
  <cols>
    <col min="1" max="1" width="8.140625" style="5" customWidth="1"/>
    <col min="2" max="2" width="12.5703125" style="5" bestFit="1" customWidth="1"/>
    <col min="3" max="3" width="9.85546875" style="22" bestFit="1" customWidth="1"/>
    <col min="4" max="4" width="8.5703125" style="25" customWidth="1"/>
    <col min="5" max="5" width="8.28515625" style="25" bestFit="1" customWidth="1"/>
    <col min="6" max="6" width="9.85546875" style="22" bestFit="1" customWidth="1"/>
    <col min="7" max="7" width="8.5703125" style="25" customWidth="1"/>
    <col min="8" max="8" width="8.28515625" style="25" bestFit="1" customWidth="1"/>
    <col min="9" max="9" width="9.85546875" style="22" bestFit="1" customWidth="1"/>
    <col min="10" max="10" width="8.5703125" style="25" bestFit="1" customWidth="1"/>
    <col min="11" max="11" width="8.28515625" style="25" bestFit="1" customWidth="1"/>
    <col min="12" max="12" width="9.85546875" style="22" bestFit="1" customWidth="1"/>
    <col min="13" max="13" width="8.7109375" style="25" bestFit="1" customWidth="1"/>
    <col min="14" max="14" width="8.5703125" style="25" bestFit="1" customWidth="1"/>
    <col min="15" max="17" width="10.85546875" style="6" bestFit="1" customWidth="1"/>
    <col min="18" max="18" width="9.7109375" style="49" customWidth="1"/>
    <col min="19" max="20" width="10.28515625" style="49" bestFit="1" customWidth="1"/>
    <col min="21" max="16384" width="11.42578125" style="5"/>
  </cols>
  <sheetData>
    <row r="1" spans="1:20" ht="15.75">
      <c r="A1" s="84" t="s">
        <v>176</v>
      </c>
      <c r="B1" s="84" t="s">
        <v>0</v>
      </c>
      <c r="C1" s="85" t="s">
        <v>177</v>
      </c>
      <c r="D1" s="85"/>
      <c r="E1" s="85"/>
      <c r="F1" s="86" t="s">
        <v>377</v>
      </c>
      <c r="G1" s="86"/>
      <c r="H1" s="86"/>
      <c r="I1" s="87" t="s">
        <v>525</v>
      </c>
      <c r="J1" s="87"/>
      <c r="K1" s="87"/>
      <c r="L1" s="88" t="s">
        <v>575</v>
      </c>
      <c r="M1" s="89"/>
      <c r="N1" s="90"/>
      <c r="O1" s="91" t="s">
        <v>210</v>
      </c>
      <c r="P1" s="92"/>
      <c r="Q1" s="92"/>
      <c r="R1" s="92"/>
      <c r="S1" s="92"/>
      <c r="T1" s="93"/>
    </row>
    <row r="2" spans="1:20" ht="31.5">
      <c r="A2" s="84"/>
      <c r="B2" s="84"/>
      <c r="C2" s="13" t="s">
        <v>1</v>
      </c>
      <c r="D2" s="23" t="s">
        <v>373</v>
      </c>
      <c r="E2" s="23" t="s">
        <v>375</v>
      </c>
      <c r="F2" s="20" t="s">
        <v>1</v>
      </c>
      <c r="G2" s="42" t="s">
        <v>374</v>
      </c>
      <c r="H2" s="42" t="s">
        <v>376</v>
      </c>
      <c r="I2" s="12" t="s">
        <v>1</v>
      </c>
      <c r="J2" s="43" t="s">
        <v>526</v>
      </c>
      <c r="K2" s="43" t="s">
        <v>527</v>
      </c>
      <c r="L2" s="35" t="s">
        <v>1</v>
      </c>
      <c r="M2" s="44" t="s">
        <v>576</v>
      </c>
      <c r="N2" s="44" t="s">
        <v>577</v>
      </c>
      <c r="O2" s="11" t="s">
        <v>211</v>
      </c>
      <c r="P2" s="10" t="s">
        <v>528</v>
      </c>
      <c r="Q2" s="36" t="s">
        <v>578</v>
      </c>
      <c r="R2" s="23" t="s">
        <v>290</v>
      </c>
      <c r="S2" s="43" t="s">
        <v>529</v>
      </c>
      <c r="T2" s="44" t="s">
        <v>579</v>
      </c>
    </row>
    <row r="3" spans="1:20">
      <c r="A3" s="7">
        <v>1</v>
      </c>
      <c r="B3" s="8"/>
      <c r="C3" s="21"/>
      <c r="D3" s="24"/>
      <c r="E3" s="24"/>
      <c r="F3" s="21"/>
      <c r="G3" s="24"/>
      <c r="H3" s="24"/>
      <c r="I3" s="21"/>
      <c r="J3" s="24"/>
      <c r="K3" s="24"/>
      <c r="L3" s="21"/>
      <c r="M3" s="24"/>
      <c r="N3" s="24"/>
      <c r="O3" s="9">
        <f>ABS(D3-G3)/IF(D3=0,1,D3)</f>
        <v>0</v>
      </c>
      <c r="P3" s="9">
        <f>ABS(D3-J3)/IF(D3=0,1,D3)</f>
        <v>0</v>
      </c>
      <c r="Q3" s="9">
        <f>ABS(D3-M3)/IF(D3=0,1,D3)</f>
        <v>0</v>
      </c>
      <c r="R3" s="48">
        <f>ROUND(IF(E3&lt;H3, -(H3/IF(E3=0,1,E3)), IF(E3=0,1,E3)/IF(H3=0,1,H3)), 2)</f>
        <v>1</v>
      </c>
      <c r="S3" s="48">
        <f>ROUND(IF(H3&lt;K3, -(K3/IF(H3=0,1,H3)), IF(H3=0,1,H3)/IF(K3=0,1,K3)), 2)</f>
        <v>1</v>
      </c>
      <c r="T3" s="48">
        <f>ROUND(IF(H3&lt;N3, -(N3/IF(H3=0,1,H3)), IF(H3=0,1,H3)/IF(N3=0,1,N3)), 2)</f>
        <v>1</v>
      </c>
    </row>
    <row r="4" spans="1:20">
      <c r="A4" s="7">
        <v>2</v>
      </c>
      <c r="B4" s="8"/>
      <c r="C4" s="21"/>
      <c r="D4" s="24"/>
      <c r="E4" s="24"/>
      <c r="F4" s="21"/>
      <c r="G4" s="24"/>
      <c r="H4" s="24"/>
      <c r="I4" s="21"/>
      <c r="J4" s="24"/>
      <c r="K4" s="24"/>
      <c r="L4" s="21"/>
      <c r="M4" s="24"/>
      <c r="N4" s="24"/>
      <c r="O4" s="9">
        <f t="shared" ref="O4:O52" si="0">ABS(D4-G4)/IF(D4=0,1,D4)</f>
        <v>0</v>
      </c>
      <c r="P4" s="9">
        <f t="shared" ref="P4:P52" si="1">ABS(D4-J4)/IF(D4=0,1,D4)</f>
        <v>0</v>
      </c>
      <c r="Q4" s="9">
        <f>ABS(D4-M4)/IF(D4=0,1,D4)</f>
        <v>0</v>
      </c>
      <c r="R4" s="48">
        <f t="shared" ref="R4:R52" si="2">ROUND(IF(E4&lt;H4, -(H4/IF(E4=0,1,E4)), IF(E4=0,1,E4)/IF(H4=0,1,H4)), 2)</f>
        <v>1</v>
      </c>
      <c r="S4" s="48">
        <f t="shared" ref="S4:S52" si="3">ROUND(IF(H4&lt;K4, -(K4/IF(H4=0,1,H4)), IF(H4=0,1,H4)/IF(K4=0,1,K4)), 2)</f>
        <v>1</v>
      </c>
      <c r="T4" s="48">
        <f t="shared" ref="T4:T52" si="4">ROUND(IF(H4&lt;N4, -(N4/IF(H4=0,1,H4)), IF(H4=0,1,H4)/IF(N4=0,1,N4)), 2)</f>
        <v>1</v>
      </c>
    </row>
    <row r="5" spans="1:20">
      <c r="A5" s="7">
        <v>3</v>
      </c>
      <c r="B5" s="8"/>
      <c r="C5" s="21"/>
      <c r="D5" s="24"/>
      <c r="E5" s="24"/>
      <c r="F5" s="21"/>
      <c r="G5" s="24"/>
      <c r="H5" s="24"/>
      <c r="I5" s="21"/>
      <c r="J5" s="24"/>
      <c r="K5" s="24"/>
      <c r="L5" s="21"/>
      <c r="M5" s="24"/>
      <c r="N5" s="24"/>
      <c r="O5" s="9">
        <f t="shared" si="0"/>
        <v>0</v>
      </c>
      <c r="P5" s="9">
        <f t="shared" si="1"/>
        <v>0</v>
      </c>
      <c r="Q5" s="9">
        <f t="shared" ref="Q5:Q52" si="5">ABS(D5-M5)/IF(D5=0,1,D5)</f>
        <v>0</v>
      </c>
      <c r="R5" s="48">
        <f t="shared" si="2"/>
        <v>1</v>
      </c>
      <c r="S5" s="48">
        <f t="shared" si="3"/>
        <v>1</v>
      </c>
      <c r="T5" s="48">
        <f t="shared" si="4"/>
        <v>1</v>
      </c>
    </row>
    <row r="6" spans="1:20">
      <c r="A6" s="7">
        <v>4</v>
      </c>
      <c r="B6" s="8"/>
      <c r="C6" s="21"/>
      <c r="D6" s="24"/>
      <c r="E6" s="24"/>
      <c r="F6" s="21"/>
      <c r="G6" s="24"/>
      <c r="H6" s="24"/>
      <c r="I6" s="21"/>
      <c r="J6" s="24"/>
      <c r="K6" s="24"/>
      <c r="L6" s="21"/>
      <c r="M6" s="24"/>
      <c r="N6" s="24"/>
      <c r="O6" s="9">
        <f t="shared" si="0"/>
        <v>0</v>
      </c>
      <c r="P6" s="9">
        <f t="shared" si="1"/>
        <v>0</v>
      </c>
      <c r="Q6" s="9">
        <f t="shared" si="5"/>
        <v>0</v>
      </c>
      <c r="R6" s="48">
        <f t="shared" si="2"/>
        <v>1</v>
      </c>
      <c r="S6" s="48">
        <f t="shared" si="3"/>
        <v>1</v>
      </c>
      <c r="T6" s="48">
        <f t="shared" si="4"/>
        <v>1</v>
      </c>
    </row>
    <row r="7" spans="1:20">
      <c r="A7" s="7">
        <v>5</v>
      </c>
      <c r="B7" s="8"/>
      <c r="C7" s="21"/>
      <c r="D7" s="24"/>
      <c r="E7" s="24"/>
      <c r="F7" s="21"/>
      <c r="G7" s="24"/>
      <c r="H7" s="24"/>
      <c r="I7" s="21"/>
      <c r="J7" s="24"/>
      <c r="K7" s="24"/>
      <c r="L7" s="21"/>
      <c r="M7" s="24"/>
      <c r="N7" s="24"/>
      <c r="O7" s="9">
        <f t="shared" si="0"/>
        <v>0</v>
      </c>
      <c r="P7" s="9">
        <f t="shared" si="1"/>
        <v>0</v>
      </c>
      <c r="Q7" s="9">
        <f t="shared" si="5"/>
        <v>0</v>
      </c>
      <c r="R7" s="48">
        <f t="shared" si="2"/>
        <v>1</v>
      </c>
      <c r="S7" s="48">
        <f t="shared" si="3"/>
        <v>1</v>
      </c>
      <c r="T7" s="48">
        <f t="shared" si="4"/>
        <v>1</v>
      </c>
    </row>
    <row r="8" spans="1:20">
      <c r="A8" s="7">
        <v>6</v>
      </c>
      <c r="B8" s="8"/>
      <c r="C8" s="21"/>
      <c r="D8" s="24"/>
      <c r="E8" s="24"/>
      <c r="F8" s="21"/>
      <c r="G8" s="24"/>
      <c r="H8" s="24"/>
      <c r="I8" s="21"/>
      <c r="J8" s="24"/>
      <c r="K8" s="24"/>
      <c r="L8" s="21"/>
      <c r="M8" s="24"/>
      <c r="N8" s="24"/>
      <c r="O8" s="9">
        <f t="shared" si="0"/>
        <v>0</v>
      </c>
      <c r="P8" s="9">
        <f t="shared" si="1"/>
        <v>0</v>
      </c>
      <c r="Q8" s="9">
        <f t="shared" si="5"/>
        <v>0</v>
      </c>
      <c r="R8" s="48">
        <f t="shared" si="2"/>
        <v>1</v>
      </c>
      <c r="S8" s="48">
        <f t="shared" si="3"/>
        <v>1</v>
      </c>
      <c r="T8" s="48">
        <f t="shared" si="4"/>
        <v>1</v>
      </c>
    </row>
    <row r="9" spans="1:20">
      <c r="A9" s="7">
        <v>7</v>
      </c>
      <c r="B9" s="8"/>
      <c r="C9" s="21"/>
      <c r="D9" s="24"/>
      <c r="E9" s="24"/>
      <c r="F9" s="21"/>
      <c r="G9" s="24"/>
      <c r="H9" s="24"/>
      <c r="I9" s="21"/>
      <c r="J9" s="24"/>
      <c r="K9" s="24"/>
      <c r="L9" s="21"/>
      <c r="M9" s="24"/>
      <c r="N9" s="24"/>
      <c r="O9" s="9">
        <f t="shared" si="0"/>
        <v>0</v>
      </c>
      <c r="P9" s="9">
        <f t="shared" si="1"/>
        <v>0</v>
      </c>
      <c r="Q9" s="9">
        <f t="shared" si="5"/>
        <v>0</v>
      </c>
      <c r="R9" s="48">
        <f t="shared" si="2"/>
        <v>1</v>
      </c>
      <c r="S9" s="48">
        <f t="shared" si="3"/>
        <v>1</v>
      </c>
      <c r="T9" s="48">
        <f t="shared" si="4"/>
        <v>1</v>
      </c>
    </row>
    <row r="10" spans="1:20">
      <c r="A10" s="7">
        <v>8</v>
      </c>
      <c r="B10" s="8"/>
      <c r="C10" s="21"/>
      <c r="D10" s="24"/>
      <c r="E10" s="24"/>
      <c r="F10" s="21"/>
      <c r="G10" s="24"/>
      <c r="H10" s="24"/>
      <c r="I10" s="21"/>
      <c r="J10" s="24"/>
      <c r="K10" s="24"/>
      <c r="L10" s="21"/>
      <c r="M10" s="24"/>
      <c r="N10" s="24"/>
      <c r="O10" s="9">
        <f t="shared" si="0"/>
        <v>0</v>
      </c>
      <c r="P10" s="9">
        <f t="shared" si="1"/>
        <v>0</v>
      </c>
      <c r="Q10" s="9">
        <f t="shared" si="5"/>
        <v>0</v>
      </c>
      <c r="R10" s="48">
        <f t="shared" si="2"/>
        <v>1</v>
      </c>
      <c r="S10" s="48">
        <f t="shared" si="3"/>
        <v>1</v>
      </c>
      <c r="T10" s="48">
        <f t="shared" si="4"/>
        <v>1</v>
      </c>
    </row>
    <row r="11" spans="1:20">
      <c r="A11" s="7">
        <v>9</v>
      </c>
      <c r="B11" s="8"/>
      <c r="C11" s="21"/>
      <c r="D11" s="24"/>
      <c r="E11" s="24"/>
      <c r="F11" s="21"/>
      <c r="G11" s="24"/>
      <c r="H11" s="24"/>
      <c r="I11" s="21"/>
      <c r="J11" s="24"/>
      <c r="K11" s="24"/>
      <c r="L11" s="21"/>
      <c r="M11" s="24"/>
      <c r="N11" s="24"/>
      <c r="O11" s="9">
        <f t="shared" si="0"/>
        <v>0</v>
      </c>
      <c r="P11" s="9">
        <f t="shared" si="1"/>
        <v>0</v>
      </c>
      <c r="Q11" s="9">
        <f t="shared" si="5"/>
        <v>0</v>
      </c>
      <c r="R11" s="48">
        <f t="shared" si="2"/>
        <v>1</v>
      </c>
      <c r="S11" s="48">
        <f t="shared" si="3"/>
        <v>1</v>
      </c>
      <c r="T11" s="48">
        <f t="shared" si="4"/>
        <v>1</v>
      </c>
    </row>
    <row r="12" spans="1:20">
      <c r="A12" s="7">
        <v>10</v>
      </c>
      <c r="B12" s="8"/>
      <c r="C12" s="21"/>
      <c r="D12" s="24"/>
      <c r="E12" s="24"/>
      <c r="F12" s="21"/>
      <c r="G12" s="24"/>
      <c r="H12" s="24"/>
      <c r="I12" s="21"/>
      <c r="J12" s="24"/>
      <c r="K12" s="24"/>
      <c r="L12" s="21"/>
      <c r="M12" s="24"/>
      <c r="N12" s="24"/>
      <c r="O12" s="9">
        <f t="shared" si="0"/>
        <v>0</v>
      </c>
      <c r="P12" s="9">
        <f t="shared" si="1"/>
        <v>0</v>
      </c>
      <c r="Q12" s="9">
        <f t="shared" si="5"/>
        <v>0</v>
      </c>
      <c r="R12" s="48">
        <f t="shared" si="2"/>
        <v>1</v>
      </c>
      <c r="S12" s="48">
        <f t="shared" si="3"/>
        <v>1</v>
      </c>
      <c r="T12" s="48">
        <f t="shared" si="4"/>
        <v>1</v>
      </c>
    </row>
    <row r="13" spans="1:20">
      <c r="A13" s="7">
        <v>11</v>
      </c>
      <c r="B13" s="8"/>
      <c r="C13" s="21"/>
      <c r="D13" s="24"/>
      <c r="E13" s="24"/>
      <c r="F13" s="21"/>
      <c r="G13" s="24"/>
      <c r="H13" s="24"/>
      <c r="I13" s="21"/>
      <c r="J13" s="24"/>
      <c r="K13" s="24"/>
      <c r="L13" s="21"/>
      <c r="M13" s="24"/>
      <c r="N13" s="24"/>
      <c r="O13" s="9">
        <f t="shared" si="0"/>
        <v>0</v>
      </c>
      <c r="P13" s="9">
        <f t="shared" si="1"/>
        <v>0</v>
      </c>
      <c r="Q13" s="9">
        <f t="shared" si="5"/>
        <v>0</v>
      </c>
      <c r="R13" s="48">
        <f t="shared" si="2"/>
        <v>1</v>
      </c>
      <c r="S13" s="48">
        <f t="shared" si="3"/>
        <v>1</v>
      </c>
      <c r="T13" s="48">
        <f t="shared" si="4"/>
        <v>1</v>
      </c>
    </row>
    <row r="14" spans="1:20">
      <c r="A14" s="7">
        <v>12</v>
      </c>
      <c r="B14" s="8"/>
      <c r="C14" s="21"/>
      <c r="D14" s="24"/>
      <c r="E14" s="24"/>
      <c r="F14" s="21"/>
      <c r="G14" s="24"/>
      <c r="H14" s="24"/>
      <c r="I14" s="21"/>
      <c r="J14" s="24"/>
      <c r="K14" s="24"/>
      <c r="L14" s="21"/>
      <c r="M14" s="24"/>
      <c r="N14" s="24"/>
      <c r="O14" s="9">
        <f t="shared" si="0"/>
        <v>0</v>
      </c>
      <c r="P14" s="9">
        <f t="shared" si="1"/>
        <v>0</v>
      </c>
      <c r="Q14" s="9">
        <f t="shared" si="5"/>
        <v>0</v>
      </c>
      <c r="R14" s="48">
        <f t="shared" si="2"/>
        <v>1</v>
      </c>
      <c r="S14" s="48">
        <f t="shared" si="3"/>
        <v>1</v>
      </c>
      <c r="T14" s="48">
        <f t="shared" si="4"/>
        <v>1</v>
      </c>
    </row>
    <row r="15" spans="1:20">
      <c r="A15" s="7">
        <v>13</v>
      </c>
      <c r="B15" s="8"/>
      <c r="C15" s="21"/>
      <c r="D15" s="24"/>
      <c r="E15" s="24"/>
      <c r="F15" s="21"/>
      <c r="G15" s="24"/>
      <c r="H15" s="24"/>
      <c r="I15" s="21"/>
      <c r="J15" s="24"/>
      <c r="K15" s="24"/>
      <c r="L15" s="21"/>
      <c r="M15" s="24"/>
      <c r="N15" s="24"/>
      <c r="O15" s="9">
        <f t="shared" si="0"/>
        <v>0</v>
      </c>
      <c r="P15" s="9">
        <f t="shared" si="1"/>
        <v>0</v>
      </c>
      <c r="Q15" s="9">
        <f t="shared" si="5"/>
        <v>0</v>
      </c>
      <c r="R15" s="48">
        <f t="shared" si="2"/>
        <v>1</v>
      </c>
      <c r="S15" s="48">
        <f t="shared" si="3"/>
        <v>1</v>
      </c>
      <c r="T15" s="48">
        <f t="shared" si="4"/>
        <v>1</v>
      </c>
    </row>
    <row r="16" spans="1:20">
      <c r="A16" s="7">
        <v>14</v>
      </c>
      <c r="B16" s="8"/>
      <c r="C16" s="21"/>
      <c r="D16" s="24"/>
      <c r="E16" s="24"/>
      <c r="F16" s="21"/>
      <c r="G16" s="24"/>
      <c r="H16" s="24"/>
      <c r="I16" s="21"/>
      <c r="J16" s="24"/>
      <c r="K16" s="24"/>
      <c r="L16" s="21"/>
      <c r="M16" s="24"/>
      <c r="N16" s="24"/>
      <c r="O16" s="9">
        <f t="shared" si="0"/>
        <v>0</v>
      </c>
      <c r="P16" s="9">
        <f t="shared" si="1"/>
        <v>0</v>
      </c>
      <c r="Q16" s="9">
        <f t="shared" si="5"/>
        <v>0</v>
      </c>
      <c r="R16" s="48">
        <f t="shared" si="2"/>
        <v>1</v>
      </c>
      <c r="S16" s="48">
        <f t="shared" si="3"/>
        <v>1</v>
      </c>
      <c r="T16" s="48">
        <f t="shared" si="4"/>
        <v>1</v>
      </c>
    </row>
    <row r="17" spans="1:20">
      <c r="A17" s="7">
        <v>15</v>
      </c>
      <c r="B17" s="8"/>
      <c r="C17" s="21"/>
      <c r="D17" s="24"/>
      <c r="E17" s="24"/>
      <c r="F17" s="21"/>
      <c r="G17" s="24"/>
      <c r="H17" s="24"/>
      <c r="I17" s="21"/>
      <c r="J17" s="24"/>
      <c r="K17" s="24"/>
      <c r="L17" s="21"/>
      <c r="M17" s="24"/>
      <c r="N17" s="24"/>
      <c r="O17" s="9">
        <f t="shared" si="0"/>
        <v>0</v>
      </c>
      <c r="P17" s="9">
        <f t="shared" si="1"/>
        <v>0</v>
      </c>
      <c r="Q17" s="9">
        <f t="shared" si="5"/>
        <v>0</v>
      </c>
      <c r="R17" s="48">
        <f t="shared" si="2"/>
        <v>1</v>
      </c>
      <c r="S17" s="48">
        <f t="shared" si="3"/>
        <v>1</v>
      </c>
      <c r="T17" s="48">
        <f t="shared" si="4"/>
        <v>1</v>
      </c>
    </row>
    <row r="18" spans="1:20">
      <c r="A18" s="7">
        <v>16</v>
      </c>
      <c r="B18" s="8"/>
      <c r="C18" s="21"/>
      <c r="D18" s="24"/>
      <c r="E18" s="24"/>
      <c r="F18" s="21"/>
      <c r="G18" s="24"/>
      <c r="H18" s="24"/>
      <c r="I18" s="21"/>
      <c r="J18" s="24"/>
      <c r="K18" s="24"/>
      <c r="L18" s="21"/>
      <c r="M18" s="24"/>
      <c r="N18" s="24"/>
      <c r="O18" s="9">
        <f t="shared" si="0"/>
        <v>0</v>
      </c>
      <c r="P18" s="9">
        <f t="shared" si="1"/>
        <v>0</v>
      </c>
      <c r="Q18" s="9">
        <f t="shared" si="5"/>
        <v>0</v>
      </c>
      <c r="R18" s="48">
        <f t="shared" si="2"/>
        <v>1</v>
      </c>
      <c r="S18" s="48">
        <f t="shared" si="3"/>
        <v>1</v>
      </c>
      <c r="T18" s="48">
        <f t="shared" si="4"/>
        <v>1</v>
      </c>
    </row>
    <row r="19" spans="1:20">
      <c r="A19" s="7">
        <v>17</v>
      </c>
      <c r="B19" s="8"/>
      <c r="C19" s="21"/>
      <c r="D19" s="24"/>
      <c r="E19" s="24"/>
      <c r="F19" s="21"/>
      <c r="G19" s="24"/>
      <c r="H19" s="24"/>
      <c r="I19" s="21"/>
      <c r="J19" s="24"/>
      <c r="K19" s="24"/>
      <c r="L19" s="21"/>
      <c r="M19" s="24"/>
      <c r="N19" s="24"/>
      <c r="O19" s="9">
        <f t="shared" si="0"/>
        <v>0</v>
      </c>
      <c r="P19" s="9">
        <f t="shared" si="1"/>
        <v>0</v>
      </c>
      <c r="Q19" s="9">
        <f t="shared" si="5"/>
        <v>0</v>
      </c>
      <c r="R19" s="48">
        <f t="shared" si="2"/>
        <v>1</v>
      </c>
      <c r="S19" s="48">
        <f t="shared" si="3"/>
        <v>1</v>
      </c>
      <c r="T19" s="48">
        <f t="shared" si="4"/>
        <v>1</v>
      </c>
    </row>
    <row r="20" spans="1:20">
      <c r="A20" s="7">
        <v>18</v>
      </c>
      <c r="B20" s="8"/>
      <c r="C20" s="21"/>
      <c r="D20" s="24"/>
      <c r="E20" s="24"/>
      <c r="F20" s="21"/>
      <c r="G20" s="24"/>
      <c r="H20" s="24"/>
      <c r="I20" s="21"/>
      <c r="J20" s="24"/>
      <c r="K20" s="24"/>
      <c r="L20" s="21"/>
      <c r="M20" s="24"/>
      <c r="N20" s="24"/>
      <c r="O20" s="9">
        <f t="shared" si="0"/>
        <v>0</v>
      </c>
      <c r="P20" s="9">
        <f t="shared" si="1"/>
        <v>0</v>
      </c>
      <c r="Q20" s="9">
        <f t="shared" si="5"/>
        <v>0</v>
      </c>
      <c r="R20" s="48">
        <f t="shared" si="2"/>
        <v>1</v>
      </c>
      <c r="S20" s="48">
        <f t="shared" si="3"/>
        <v>1</v>
      </c>
      <c r="T20" s="48">
        <f t="shared" si="4"/>
        <v>1</v>
      </c>
    </row>
    <row r="21" spans="1:20">
      <c r="A21" s="7">
        <v>19</v>
      </c>
      <c r="B21" s="8"/>
      <c r="C21" s="21"/>
      <c r="D21" s="24"/>
      <c r="E21" s="24"/>
      <c r="F21" s="21"/>
      <c r="G21" s="24"/>
      <c r="H21" s="24"/>
      <c r="I21" s="21"/>
      <c r="J21" s="24"/>
      <c r="K21" s="24"/>
      <c r="L21" s="21"/>
      <c r="M21" s="24"/>
      <c r="N21" s="24"/>
      <c r="O21" s="9">
        <f t="shared" si="0"/>
        <v>0</v>
      </c>
      <c r="P21" s="9">
        <f t="shared" si="1"/>
        <v>0</v>
      </c>
      <c r="Q21" s="9">
        <f t="shared" si="5"/>
        <v>0</v>
      </c>
      <c r="R21" s="48">
        <f t="shared" si="2"/>
        <v>1</v>
      </c>
      <c r="S21" s="48">
        <f t="shared" si="3"/>
        <v>1</v>
      </c>
      <c r="T21" s="48">
        <f t="shared" si="4"/>
        <v>1</v>
      </c>
    </row>
    <row r="22" spans="1:20">
      <c r="A22" s="7">
        <v>20</v>
      </c>
      <c r="B22" s="8"/>
      <c r="C22" s="21"/>
      <c r="D22" s="24"/>
      <c r="E22" s="24"/>
      <c r="F22" s="21"/>
      <c r="G22" s="24"/>
      <c r="H22" s="24"/>
      <c r="I22" s="21"/>
      <c r="J22" s="24"/>
      <c r="K22" s="24"/>
      <c r="L22" s="21"/>
      <c r="M22" s="24"/>
      <c r="N22" s="24"/>
      <c r="O22" s="9">
        <f t="shared" si="0"/>
        <v>0</v>
      </c>
      <c r="P22" s="9">
        <f t="shared" si="1"/>
        <v>0</v>
      </c>
      <c r="Q22" s="9">
        <f t="shared" si="5"/>
        <v>0</v>
      </c>
      <c r="R22" s="48">
        <f t="shared" si="2"/>
        <v>1</v>
      </c>
      <c r="S22" s="48">
        <f t="shared" si="3"/>
        <v>1</v>
      </c>
      <c r="T22" s="48">
        <f t="shared" si="4"/>
        <v>1</v>
      </c>
    </row>
    <row r="23" spans="1:20">
      <c r="A23" s="7">
        <v>21</v>
      </c>
      <c r="B23" s="8"/>
      <c r="C23" s="21"/>
      <c r="D23" s="24"/>
      <c r="E23" s="24"/>
      <c r="F23" s="21"/>
      <c r="G23" s="24"/>
      <c r="H23" s="24"/>
      <c r="I23" s="21"/>
      <c r="J23" s="24"/>
      <c r="K23" s="24"/>
      <c r="L23" s="21"/>
      <c r="M23" s="24"/>
      <c r="N23" s="24"/>
      <c r="O23" s="9">
        <f t="shared" si="0"/>
        <v>0</v>
      </c>
      <c r="P23" s="9">
        <f t="shared" si="1"/>
        <v>0</v>
      </c>
      <c r="Q23" s="9">
        <f t="shared" si="5"/>
        <v>0</v>
      </c>
      <c r="R23" s="48">
        <f t="shared" si="2"/>
        <v>1</v>
      </c>
      <c r="S23" s="48">
        <f t="shared" si="3"/>
        <v>1</v>
      </c>
      <c r="T23" s="48">
        <f t="shared" si="4"/>
        <v>1</v>
      </c>
    </row>
    <row r="24" spans="1:20">
      <c r="A24" s="7">
        <v>22</v>
      </c>
      <c r="B24" s="8"/>
      <c r="C24" s="21"/>
      <c r="D24" s="24"/>
      <c r="E24" s="24"/>
      <c r="F24" s="21"/>
      <c r="G24" s="24"/>
      <c r="H24" s="24"/>
      <c r="I24" s="21"/>
      <c r="J24" s="24"/>
      <c r="K24" s="24"/>
      <c r="L24" s="21"/>
      <c r="M24" s="24"/>
      <c r="N24" s="24"/>
      <c r="O24" s="9">
        <f t="shared" si="0"/>
        <v>0</v>
      </c>
      <c r="P24" s="9">
        <f t="shared" si="1"/>
        <v>0</v>
      </c>
      <c r="Q24" s="9">
        <f t="shared" si="5"/>
        <v>0</v>
      </c>
      <c r="R24" s="48">
        <f t="shared" si="2"/>
        <v>1</v>
      </c>
      <c r="S24" s="48">
        <f t="shared" si="3"/>
        <v>1</v>
      </c>
      <c r="T24" s="48">
        <f t="shared" si="4"/>
        <v>1</v>
      </c>
    </row>
    <row r="25" spans="1:20">
      <c r="A25" s="7">
        <v>23</v>
      </c>
      <c r="B25" s="8"/>
      <c r="C25" s="21"/>
      <c r="D25" s="24"/>
      <c r="E25" s="24"/>
      <c r="F25" s="21"/>
      <c r="G25" s="24"/>
      <c r="H25" s="24"/>
      <c r="I25" s="21"/>
      <c r="J25" s="24"/>
      <c r="K25" s="24"/>
      <c r="L25" s="21"/>
      <c r="M25" s="24"/>
      <c r="N25" s="24"/>
      <c r="O25" s="9">
        <f t="shared" si="0"/>
        <v>0</v>
      </c>
      <c r="P25" s="9">
        <f t="shared" si="1"/>
        <v>0</v>
      </c>
      <c r="Q25" s="9">
        <f t="shared" si="5"/>
        <v>0</v>
      </c>
      <c r="R25" s="48">
        <f t="shared" si="2"/>
        <v>1</v>
      </c>
      <c r="S25" s="48">
        <f t="shared" si="3"/>
        <v>1</v>
      </c>
      <c r="T25" s="48">
        <f t="shared" si="4"/>
        <v>1</v>
      </c>
    </row>
    <row r="26" spans="1:20">
      <c r="A26" s="7">
        <v>24</v>
      </c>
      <c r="B26" s="8"/>
      <c r="C26" s="21"/>
      <c r="D26" s="24"/>
      <c r="E26" s="24"/>
      <c r="F26" s="21"/>
      <c r="G26" s="24"/>
      <c r="H26" s="24"/>
      <c r="I26" s="21"/>
      <c r="J26" s="24"/>
      <c r="K26" s="24"/>
      <c r="L26" s="21"/>
      <c r="M26" s="24"/>
      <c r="N26" s="24"/>
      <c r="O26" s="9">
        <f t="shared" si="0"/>
        <v>0</v>
      </c>
      <c r="P26" s="9">
        <f t="shared" si="1"/>
        <v>0</v>
      </c>
      <c r="Q26" s="9">
        <f t="shared" si="5"/>
        <v>0</v>
      </c>
      <c r="R26" s="48">
        <f t="shared" si="2"/>
        <v>1</v>
      </c>
      <c r="S26" s="48">
        <f t="shared" si="3"/>
        <v>1</v>
      </c>
      <c r="T26" s="48">
        <f t="shared" si="4"/>
        <v>1</v>
      </c>
    </row>
    <row r="27" spans="1:20">
      <c r="A27" s="7">
        <v>25</v>
      </c>
      <c r="B27" s="8"/>
      <c r="C27" s="21"/>
      <c r="D27" s="24"/>
      <c r="E27" s="24"/>
      <c r="F27" s="21"/>
      <c r="G27" s="24"/>
      <c r="H27" s="24"/>
      <c r="I27" s="21"/>
      <c r="J27" s="24"/>
      <c r="K27" s="24"/>
      <c r="L27" s="21"/>
      <c r="M27" s="24"/>
      <c r="N27" s="24"/>
      <c r="O27" s="9">
        <f t="shared" si="0"/>
        <v>0</v>
      </c>
      <c r="P27" s="9">
        <f t="shared" si="1"/>
        <v>0</v>
      </c>
      <c r="Q27" s="9">
        <f t="shared" si="5"/>
        <v>0</v>
      </c>
      <c r="R27" s="48">
        <f t="shared" si="2"/>
        <v>1</v>
      </c>
      <c r="S27" s="48">
        <f t="shared" si="3"/>
        <v>1</v>
      </c>
      <c r="T27" s="48">
        <f t="shared" si="4"/>
        <v>1</v>
      </c>
    </row>
    <row r="28" spans="1:20">
      <c r="A28" s="7">
        <v>26</v>
      </c>
      <c r="B28" s="8"/>
      <c r="C28" s="21"/>
      <c r="D28" s="24"/>
      <c r="E28" s="24"/>
      <c r="F28" s="21"/>
      <c r="G28" s="24"/>
      <c r="H28" s="24"/>
      <c r="I28" s="21"/>
      <c r="J28" s="24"/>
      <c r="K28" s="24"/>
      <c r="L28" s="21"/>
      <c r="M28" s="24"/>
      <c r="N28" s="24"/>
      <c r="O28" s="9">
        <f t="shared" si="0"/>
        <v>0</v>
      </c>
      <c r="P28" s="9">
        <f t="shared" si="1"/>
        <v>0</v>
      </c>
      <c r="Q28" s="9">
        <f t="shared" si="5"/>
        <v>0</v>
      </c>
      <c r="R28" s="48">
        <f t="shared" si="2"/>
        <v>1</v>
      </c>
      <c r="S28" s="48">
        <f t="shared" si="3"/>
        <v>1</v>
      </c>
      <c r="T28" s="48">
        <f t="shared" si="4"/>
        <v>1</v>
      </c>
    </row>
    <row r="29" spans="1:20">
      <c r="A29" s="7">
        <v>27</v>
      </c>
      <c r="B29" s="8"/>
      <c r="C29" s="21"/>
      <c r="D29" s="24"/>
      <c r="E29" s="24"/>
      <c r="F29" s="21"/>
      <c r="G29" s="24"/>
      <c r="H29" s="24"/>
      <c r="I29" s="21"/>
      <c r="J29" s="24"/>
      <c r="K29" s="24"/>
      <c r="L29" s="21"/>
      <c r="M29" s="24"/>
      <c r="N29" s="24"/>
      <c r="O29" s="9">
        <f t="shared" si="0"/>
        <v>0</v>
      </c>
      <c r="P29" s="9">
        <f t="shared" si="1"/>
        <v>0</v>
      </c>
      <c r="Q29" s="9">
        <f t="shared" si="5"/>
        <v>0</v>
      </c>
      <c r="R29" s="48">
        <f t="shared" si="2"/>
        <v>1</v>
      </c>
      <c r="S29" s="48">
        <f t="shared" si="3"/>
        <v>1</v>
      </c>
      <c r="T29" s="48">
        <f t="shared" si="4"/>
        <v>1</v>
      </c>
    </row>
    <row r="30" spans="1:20">
      <c r="A30" s="7">
        <v>28</v>
      </c>
      <c r="B30" s="8"/>
      <c r="C30" s="21"/>
      <c r="D30" s="24"/>
      <c r="E30" s="24"/>
      <c r="F30" s="21"/>
      <c r="G30" s="24"/>
      <c r="H30" s="24"/>
      <c r="I30" s="21"/>
      <c r="J30" s="24"/>
      <c r="K30" s="24"/>
      <c r="L30" s="21"/>
      <c r="M30" s="24"/>
      <c r="N30" s="24"/>
      <c r="O30" s="9">
        <f t="shared" si="0"/>
        <v>0</v>
      </c>
      <c r="P30" s="9">
        <f t="shared" si="1"/>
        <v>0</v>
      </c>
      <c r="Q30" s="9">
        <f t="shared" si="5"/>
        <v>0</v>
      </c>
      <c r="R30" s="48">
        <f t="shared" si="2"/>
        <v>1</v>
      </c>
      <c r="S30" s="48">
        <f t="shared" si="3"/>
        <v>1</v>
      </c>
      <c r="T30" s="48">
        <f t="shared" si="4"/>
        <v>1</v>
      </c>
    </row>
    <row r="31" spans="1:20">
      <c r="A31" s="7">
        <v>29</v>
      </c>
      <c r="B31" s="7"/>
      <c r="C31" s="21"/>
      <c r="D31" s="24"/>
      <c r="E31" s="24"/>
      <c r="F31" s="21"/>
      <c r="G31" s="24"/>
      <c r="H31" s="24"/>
      <c r="I31" s="21"/>
      <c r="J31" s="24"/>
      <c r="K31" s="24"/>
      <c r="L31" s="21"/>
      <c r="M31" s="24"/>
      <c r="N31" s="24"/>
      <c r="O31" s="9">
        <f t="shared" si="0"/>
        <v>0</v>
      </c>
      <c r="P31" s="9">
        <f t="shared" si="1"/>
        <v>0</v>
      </c>
      <c r="Q31" s="9">
        <f t="shared" si="5"/>
        <v>0</v>
      </c>
      <c r="R31" s="48">
        <f t="shared" si="2"/>
        <v>1</v>
      </c>
      <c r="S31" s="48">
        <f t="shared" si="3"/>
        <v>1</v>
      </c>
      <c r="T31" s="48">
        <f t="shared" si="4"/>
        <v>1</v>
      </c>
    </row>
    <row r="32" spans="1:20">
      <c r="A32" s="7">
        <v>30</v>
      </c>
      <c r="B32" s="7"/>
      <c r="C32" s="21"/>
      <c r="D32" s="24"/>
      <c r="E32" s="24"/>
      <c r="F32" s="21"/>
      <c r="G32" s="24"/>
      <c r="H32" s="24"/>
      <c r="I32" s="21"/>
      <c r="J32" s="24"/>
      <c r="K32" s="24"/>
      <c r="L32" s="21"/>
      <c r="M32" s="24"/>
      <c r="N32" s="24"/>
      <c r="O32" s="9">
        <f t="shared" si="0"/>
        <v>0</v>
      </c>
      <c r="P32" s="9">
        <f t="shared" si="1"/>
        <v>0</v>
      </c>
      <c r="Q32" s="9">
        <f t="shared" si="5"/>
        <v>0</v>
      </c>
      <c r="R32" s="48">
        <f t="shared" si="2"/>
        <v>1</v>
      </c>
      <c r="S32" s="48">
        <f t="shared" si="3"/>
        <v>1</v>
      </c>
      <c r="T32" s="48">
        <f t="shared" si="4"/>
        <v>1</v>
      </c>
    </row>
    <row r="33" spans="1:20">
      <c r="A33" s="7">
        <v>31</v>
      </c>
      <c r="B33" s="7"/>
      <c r="C33" s="21"/>
      <c r="D33" s="24"/>
      <c r="E33" s="24"/>
      <c r="F33" s="21"/>
      <c r="G33" s="24"/>
      <c r="H33" s="24"/>
      <c r="I33" s="21"/>
      <c r="J33" s="24"/>
      <c r="K33" s="24"/>
      <c r="L33" s="21"/>
      <c r="M33" s="24"/>
      <c r="N33" s="24"/>
      <c r="O33" s="9">
        <f t="shared" si="0"/>
        <v>0</v>
      </c>
      <c r="P33" s="9">
        <f t="shared" si="1"/>
        <v>0</v>
      </c>
      <c r="Q33" s="9">
        <f t="shared" si="5"/>
        <v>0</v>
      </c>
      <c r="R33" s="48">
        <f t="shared" si="2"/>
        <v>1</v>
      </c>
      <c r="S33" s="48">
        <f t="shared" si="3"/>
        <v>1</v>
      </c>
      <c r="T33" s="48">
        <f t="shared" si="4"/>
        <v>1</v>
      </c>
    </row>
    <row r="34" spans="1:20">
      <c r="A34" s="7">
        <v>32</v>
      </c>
      <c r="B34" s="7"/>
      <c r="C34" s="21"/>
      <c r="D34" s="24"/>
      <c r="E34" s="24"/>
      <c r="F34" s="21"/>
      <c r="G34" s="24"/>
      <c r="H34" s="24"/>
      <c r="I34" s="21"/>
      <c r="J34" s="24"/>
      <c r="K34" s="24"/>
      <c r="L34" s="21"/>
      <c r="M34" s="24"/>
      <c r="N34" s="24"/>
      <c r="O34" s="9">
        <f t="shared" si="0"/>
        <v>0</v>
      </c>
      <c r="P34" s="9">
        <f t="shared" si="1"/>
        <v>0</v>
      </c>
      <c r="Q34" s="9">
        <f t="shared" si="5"/>
        <v>0</v>
      </c>
      <c r="R34" s="48">
        <f t="shared" si="2"/>
        <v>1</v>
      </c>
      <c r="S34" s="48">
        <f t="shared" si="3"/>
        <v>1</v>
      </c>
      <c r="T34" s="48">
        <f t="shared" si="4"/>
        <v>1</v>
      </c>
    </row>
    <row r="35" spans="1:20">
      <c r="A35" s="7">
        <v>33</v>
      </c>
      <c r="B35" s="7"/>
      <c r="C35" s="21"/>
      <c r="D35" s="24"/>
      <c r="E35" s="24"/>
      <c r="F35" s="21"/>
      <c r="G35" s="24"/>
      <c r="H35" s="24"/>
      <c r="I35" s="21"/>
      <c r="J35" s="24"/>
      <c r="K35" s="24"/>
      <c r="L35" s="21"/>
      <c r="M35" s="24"/>
      <c r="N35" s="24"/>
      <c r="O35" s="9">
        <f t="shared" si="0"/>
        <v>0</v>
      </c>
      <c r="P35" s="9">
        <f t="shared" si="1"/>
        <v>0</v>
      </c>
      <c r="Q35" s="9">
        <f t="shared" si="5"/>
        <v>0</v>
      </c>
      <c r="R35" s="48">
        <f t="shared" si="2"/>
        <v>1</v>
      </c>
      <c r="S35" s="48">
        <f t="shared" si="3"/>
        <v>1</v>
      </c>
      <c r="T35" s="48">
        <f t="shared" si="4"/>
        <v>1</v>
      </c>
    </row>
    <row r="36" spans="1:20">
      <c r="A36" s="7">
        <v>34</v>
      </c>
      <c r="B36" s="7"/>
      <c r="C36" s="21"/>
      <c r="D36" s="24"/>
      <c r="E36" s="24"/>
      <c r="F36" s="21"/>
      <c r="G36" s="24"/>
      <c r="H36" s="24"/>
      <c r="I36" s="21"/>
      <c r="J36" s="24"/>
      <c r="K36" s="24"/>
      <c r="L36" s="21"/>
      <c r="M36" s="24"/>
      <c r="N36" s="24"/>
      <c r="O36" s="9">
        <f t="shared" si="0"/>
        <v>0</v>
      </c>
      <c r="P36" s="9">
        <f t="shared" si="1"/>
        <v>0</v>
      </c>
      <c r="Q36" s="9">
        <f t="shared" si="5"/>
        <v>0</v>
      </c>
      <c r="R36" s="48">
        <f t="shared" si="2"/>
        <v>1</v>
      </c>
      <c r="S36" s="48">
        <f t="shared" si="3"/>
        <v>1</v>
      </c>
      <c r="T36" s="48">
        <f t="shared" si="4"/>
        <v>1</v>
      </c>
    </row>
    <row r="37" spans="1:20">
      <c r="A37" s="7">
        <v>35</v>
      </c>
      <c r="B37" s="7"/>
      <c r="C37" s="21"/>
      <c r="D37" s="24"/>
      <c r="E37" s="24"/>
      <c r="F37" s="21"/>
      <c r="G37" s="24"/>
      <c r="H37" s="24"/>
      <c r="I37" s="21"/>
      <c r="J37" s="24"/>
      <c r="K37" s="24"/>
      <c r="L37" s="21"/>
      <c r="M37" s="24"/>
      <c r="N37" s="24"/>
      <c r="O37" s="9">
        <f t="shared" si="0"/>
        <v>0</v>
      </c>
      <c r="P37" s="9">
        <f t="shared" si="1"/>
        <v>0</v>
      </c>
      <c r="Q37" s="9">
        <f t="shared" si="5"/>
        <v>0</v>
      </c>
      <c r="R37" s="48">
        <f t="shared" si="2"/>
        <v>1</v>
      </c>
      <c r="S37" s="48">
        <f t="shared" si="3"/>
        <v>1</v>
      </c>
      <c r="T37" s="48">
        <f t="shared" si="4"/>
        <v>1</v>
      </c>
    </row>
    <row r="38" spans="1:20">
      <c r="A38" s="7">
        <v>36</v>
      </c>
      <c r="B38" s="7"/>
      <c r="C38" s="21"/>
      <c r="D38" s="24"/>
      <c r="E38" s="24"/>
      <c r="F38" s="21"/>
      <c r="G38" s="24"/>
      <c r="H38" s="24"/>
      <c r="I38" s="21"/>
      <c r="J38" s="24"/>
      <c r="K38" s="24"/>
      <c r="L38" s="21"/>
      <c r="M38" s="24"/>
      <c r="N38" s="24"/>
      <c r="O38" s="9">
        <f t="shared" si="0"/>
        <v>0</v>
      </c>
      <c r="P38" s="9">
        <f t="shared" si="1"/>
        <v>0</v>
      </c>
      <c r="Q38" s="9">
        <f t="shared" si="5"/>
        <v>0</v>
      </c>
      <c r="R38" s="48">
        <f t="shared" si="2"/>
        <v>1</v>
      </c>
      <c r="S38" s="48">
        <f t="shared" si="3"/>
        <v>1</v>
      </c>
      <c r="T38" s="48">
        <f t="shared" si="4"/>
        <v>1</v>
      </c>
    </row>
    <row r="39" spans="1:20">
      <c r="A39" s="7">
        <v>37</v>
      </c>
      <c r="B39" s="7"/>
      <c r="C39" s="21"/>
      <c r="D39" s="24"/>
      <c r="E39" s="24"/>
      <c r="F39" s="21"/>
      <c r="G39" s="24"/>
      <c r="H39" s="24"/>
      <c r="I39" s="21"/>
      <c r="J39" s="24"/>
      <c r="K39" s="24"/>
      <c r="L39" s="21"/>
      <c r="M39" s="24"/>
      <c r="N39" s="24"/>
      <c r="O39" s="9">
        <f t="shared" si="0"/>
        <v>0</v>
      </c>
      <c r="P39" s="9">
        <f t="shared" si="1"/>
        <v>0</v>
      </c>
      <c r="Q39" s="9">
        <f t="shared" si="5"/>
        <v>0</v>
      </c>
      <c r="R39" s="48">
        <f t="shared" si="2"/>
        <v>1</v>
      </c>
      <c r="S39" s="48">
        <f t="shared" si="3"/>
        <v>1</v>
      </c>
      <c r="T39" s="48">
        <f t="shared" si="4"/>
        <v>1</v>
      </c>
    </row>
    <row r="40" spans="1:20">
      <c r="A40" s="7">
        <v>38</v>
      </c>
      <c r="B40" s="7"/>
      <c r="C40" s="21"/>
      <c r="D40" s="24"/>
      <c r="E40" s="24"/>
      <c r="F40" s="21"/>
      <c r="G40" s="24"/>
      <c r="H40" s="24"/>
      <c r="I40" s="21"/>
      <c r="J40" s="24"/>
      <c r="K40" s="24"/>
      <c r="L40" s="21"/>
      <c r="M40" s="24"/>
      <c r="N40" s="24"/>
      <c r="O40" s="9">
        <f t="shared" si="0"/>
        <v>0</v>
      </c>
      <c r="P40" s="9">
        <f t="shared" si="1"/>
        <v>0</v>
      </c>
      <c r="Q40" s="9">
        <f t="shared" si="5"/>
        <v>0</v>
      </c>
      <c r="R40" s="48">
        <f t="shared" si="2"/>
        <v>1</v>
      </c>
      <c r="S40" s="48">
        <f t="shared" si="3"/>
        <v>1</v>
      </c>
      <c r="T40" s="48">
        <f t="shared" si="4"/>
        <v>1</v>
      </c>
    </row>
    <row r="41" spans="1:20">
      <c r="A41" s="7">
        <v>39</v>
      </c>
      <c r="B41" s="7"/>
      <c r="C41" s="21"/>
      <c r="D41" s="24"/>
      <c r="E41" s="24"/>
      <c r="F41" s="21"/>
      <c r="G41" s="24"/>
      <c r="H41" s="24"/>
      <c r="I41" s="21"/>
      <c r="J41" s="24"/>
      <c r="K41" s="24"/>
      <c r="L41" s="21"/>
      <c r="M41" s="24"/>
      <c r="N41" s="24"/>
      <c r="O41" s="9">
        <f t="shared" si="0"/>
        <v>0</v>
      </c>
      <c r="P41" s="9">
        <f t="shared" si="1"/>
        <v>0</v>
      </c>
      <c r="Q41" s="9">
        <f t="shared" si="5"/>
        <v>0</v>
      </c>
      <c r="R41" s="48">
        <f t="shared" si="2"/>
        <v>1</v>
      </c>
      <c r="S41" s="48">
        <f t="shared" si="3"/>
        <v>1</v>
      </c>
      <c r="T41" s="48">
        <f t="shared" si="4"/>
        <v>1</v>
      </c>
    </row>
    <row r="42" spans="1:20">
      <c r="A42" s="7">
        <v>40</v>
      </c>
      <c r="B42" s="7"/>
      <c r="C42" s="21"/>
      <c r="D42" s="24"/>
      <c r="E42" s="24"/>
      <c r="F42" s="21"/>
      <c r="G42" s="24"/>
      <c r="H42" s="24"/>
      <c r="I42" s="21"/>
      <c r="J42" s="24"/>
      <c r="K42" s="24"/>
      <c r="L42" s="21"/>
      <c r="M42" s="24"/>
      <c r="N42" s="24"/>
      <c r="O42" s="9">
        <f t="shared" si="0"/>
        <v>0</v>
      </c>
      <c r="P42" s="9">
        <f t="shared" si="1"/>
        <v>0</v>
      </c>
      <c r="Q42" s="9">
        <f t="shared" si="5"/>
        <v>0</v>
      </c>
      <c r="R42" s="48">
        <f t="shared" si="2"/>
        <v>1</v>
      </c>
      <c r="S42" s="48">
        <f t="shared" si="3"/>
        <v>1</v>
      </c>
      <c r="T42" s="48">
        <f t="shared" si="4"/>
        <v>1</v>
      </c>
    </row>
    <row r="43" spans="1:20">
      <c r="A43" s="7">
        <v>41</v>
      </c>
      <c r="B43" s="7"/>
      <c r="C43" s="21"/>
      <c r="D43" s="24"/>
      <c r="E43" s="24"/>
      <c r="F43" s="21"/>
      <c r="G43" s="24"/>
      <c r="H43" s="24"/>
      <c r="I43" s="21"/>
      <c r="J43" s="24"/>
      <c r="K43" s="24"/>
      <c r="L43" s="21"/>
      <c r="M43" s="24"/>
      <c r="N43" s="24"/>
      <c r="O43" s="9">
        <f t="shared" si="0"/>
        <v>0</v>
      </c>
      <c r="P43" s="9">
        <f t="shared" si="1"/>
        <v>0</v>
      </c>
      <c r="Q43" s="9">
        <f t="shared" si="5"/>
        <v>0</v>
      </c>
      <c r="R43" s="48">
        <f t="shared" si="2"/>
        <v>1</v>
      </c>
      <c r="S43" s="48">
        <f t="shared" si="3"/>
        <v>1</v>
      </c>
      <c r="T43" s="48">
        <f t="shared" si="4"/>
        <v>1</v>
      </c>
    </row>
    <row r="44" spans="1:20">
      <c r="A44" s="7">
        <v>42</v>
      </c>
      <c r="B44" s="7"/>
      <c r="C44" s="21"/>
      <c r="D44" s="24"/>
      <c r="E44" s="24"/>
      <c r="F44" s="21"/>
      <c r="G44" s="24"/>
      <c r="H44" s="24"/>
      <c r="I44" s="21"/>
      <c r="J44" s="24"/>
      <c r="K44" s="24"/>
      <c r="L44" s="21"/>
      <c r="M44" s="24"/>
      <c r="N44" s="24"/>
      <c r="O44" s="9">
        <f t="shared" si="0"/>
        <v>0</v>
      </c>
      <c r="P44" s="9">
        <f t="shared" si="1"/>
        <v>0</v>
      </c>
      <c r="Q44" s="9">
        <f t="shared" si="5"/>
        <v>0</v>
      </c>
      <c r="R44" s="48">
        <f t="shared" si="2"/>
        <v>1</v>
      </c>
      <c r="S44" s="48">
        <f t="shared" si="3"/>
        <v>1</v>
      </c>
      <c r="T44" s="48">
        <f t="shared" si="4"/>
        <v>1</v>
      </c>
    </row>
    <row r="45" spans="1:20">
      <c r="A45" s="7">
        <v>43</v>
      </c>
      <c r="B45" s="7"/>
      <c r="C45" s="21"/>
      <c r="D45" s="24"/>
      <c r="E45" s="24"/>
      <c r="F45" s="21"/>
      <c r="G45" s="24"/>
      <c r="H45" s="24"/>
      <c r="I45" s="21"/>
      <c r="J45" s="24"/>
      <c r="K45" s="24"/>
      <c r="L45" s="21"/>
      <c r="M45" s="24"/>
      <c r="N45" s="24"/>
      <c r="O45" s="9">
        <f t="shared" si="0"/>
        <v>0</v>
      </c>
      <c r="P45" s="9">
        <f t="shared" si="1"/>
        <v>0</v>
      </c>
      <c r="Q45" s="9">
        <f t="shared" si="5"/>
        <v>0</v>
      </c>
      <c r="R45" s="48">
        <f t="shared" si="2"/>
        <v>1</v>
      </c>
      <c r="S45" s="48">
        <f t="shared" si="3"/>
        <v>1</v>
      </c>
      <c r="T45" s="48">
        <f t="shared" si="4"/>
        <v>1</v>
      </c>
    </row>
    <row r="46" spans="1:20">
      <c r="A46" s="7">
        <v>44</v>
      </c>
      <c r="B46" s="7"/>
      <c r="C46" s="21"/>
      <c r="D46" s="24"/>
      <c r="E46" s="24"/>
      <c r="F46" s="21"/>
      <c r="G46" s="24"/>
      <c r="H46" s="24"/>
      <c r="I46" s="21"/>
      <c r="J46" s="24"/>
      <c r="K46" s="24"/>
      <c r="L46" s="21"/>
      <c r="M46" s="24"/>
      <c r="N46" s="24"/>
      <c r="O46" s="9">
        <f t="shared" si="0"/>
        <v>0</v>
      </c>
      <c r="P46" s="9">
        <f t="shared" si="1"/>
        <v>0</v>
      </c>
      <c r="Q46" s="9">
        <f t="shared" si="5"/>
        <v>0</v>
      </c>
      <c r="R46" s="48">
        <f t="shared" si="2"/>
        <v>1</v>
      </c>
      <c r="S46" s="48">
        <f t="shared" si="3"/>
        <v>1</v>
      </c>
      <c r="T46" s="48">
        <f t="shared" si="4"/>
        <v>1</v>
      </c>
    </row>
    <row r="47" spans="1:20">
      <c r="A47" s="7">
        <v>45</v>
      </c>
      <c r="B47" s="7"/>
      <c r="C47" s="21"/>
      <c r="D47" s="24"/>
      <c r="E47" s="24"/>
      <c r="F47" s="21"/>
      <c r="G47" s="24"/>
      <c r="H47" s="24"/>
      <c r="I47" s="21"/>
      <c r="J47" s="24"/>
      <c r="K47" s="24"/>
      <c r="L47" s="21"/>
      <c r="M47" s="24"/>
      <c r="N47" s="24"/>
      <c r="O47" s="9">
        <f t="shared" si="0"/>
        <v>0</v>
      </c>
      <c r="P47" s="9">
        <f t="shared" si="1"/>
        <v>0</v>
      </c>
      <c r="Q47" s="9">
        <f t="shared" si="5"/>
        <v>0</v>
      </c>
      <c r="R47" s="48">
        <f t="shared" si="2"/>
        <v>1</v>
      </c>
      <c r="S47" s="48">
        <f t="shared" si="3"/>
        <v>1</v>
      </c>
      <c r="T47" s="48">
        <f t="shared" si="4"/>
        <v>1</v>
      </c>
    </row>
    <row r="48" spans="1:20">
      <c r="A48" s="7">
        <v>46</v>
      </c>
      <c r="B48" s="7"/>
      <c r="C48" s="21"/>
      <c r="D48" s="24"/>
      <c r="E48" s="24"/>
      <c r="F48" s="21"/>
      <c r="G48" s="24"/>
      <c r="H48" s="24"/>
      <c r="I48" s="21"/>
      <c r="J48" s="24"/>
      <c r="K48" s="24"/>
      <c r="L48" s="21"/>
      <c r="M48" s="24"/>
      <c r="N48" s="24"/>
      <c r="O48" s="9">
        <f t="shared" si="0"/>
        <v>0</v>
      </c>
      <c r="P48" s="9">
        <f t="shared" si="1"/>
        <v>0</v>
      </c>
      <c r="Q48" s="9">
        <f t="shared" si="5"/>
        <v>0</v>
      </c>
      <c r="R48" s="48">
        <f t="shared" si="2"/>
        <v>1</v>
      </c>
      <c r="S48" s="48">
        <f t="shared" si="3"/>
        <v>1</v>
      </c>
      <c r="T48" s="48">
        <f t="shared" si="4"/>
        <v>1</v>
      </c>
    </row>
    <row r="49" spans="1:20">
      <c r="A49" s="7">
        <v>47</v>
      </c>
      <c r="B49" s="7"/>
      <c r="C49" s="21"/>
      <c r="D49" s="24"/>
      <c r="E49" s="24"/>
      <c r="F49" s="21"/>
      <c r="G49" s="24"/>
      <c r="H49" s="24"/>
      <c r="I49" s="21"/>
      <c r="J49" s="24"/>
      <c r="K49" s="24"/>
      <c r="L49" s="21"/>
      <c r="M49" s="24"/>
      <c r="N49" s="24"/>
      <c r="O49" s="9">
        <f t="shared" si="0"/>
        <v>0</v>
      </c>
      <c r="P49" s="9">
        <f t="shared" si="1"/>
        <v>0</v>
      </c>
      <c r="Q49" s="9">
        <f t="shared" si="5"/>
        <v>0</v>
      </c>
      <c r="R49" s="48">
        <f t="shared" si="2"/>
        <v>1</v>
      </c>
      <c r="S49" s="48">
        <f t="shared" si="3"/>
        <v>1</v>
      </c>
      <c r="T49" s="48">
        <f t="shared" si="4"/>
        <v>1</v>
      </c>
    </row>
    <row r="50" spans="1:20">
      <c r="A50" s="7">
        <v>48</v>
      </c>
      <c r="B50" s="7"/>
      <c r="C50" s="21"/>
      <c r="D50" s="24"/>
      <c r="E50" s="24"/>
      <c r="F50" s="21"/>
      <c r="G50" s="24"/>
      <c r="H50" s="24"/>
      <c r="I50" s="21"/>
      <c r="J50" s="24"/>
      <c r="K50" s="24"/>
      <c r="L50" s="21"/>
      <c r="M50" s="24"/>
      <c r="N50" s="24"/>
      <c r="O50" s="9">
        <f t="shared" si="0"/>
        <v>0</v>
      </c>
      <c r="P50" s="9">
        <f t="shared" si="1"/>
        <v>0</v>
      </c>
      <c r="Q50" s="9">
        <f t="shared" si="5"/>
        <v>0</v>
      </c>
      <c r="R50" s="48">
        <f t="shared" si="2"/>
        <v>1</v>
      </c>
      <c r="S50" s="48">
        <f t="shared" si="3"/>
        <v>1</v>
      </c>
      <c r="T50" s="48">
        <f t="shared" si="4"/>
        <v>1</v>
      </c>
    </row>
    <row r="51" spans="1:20">
      <c r="A51" s="7">
        <v>49</v>
      </c>
      <c r="B51" s="7"/>
      <c r="C51" s="21"/>
      <c r="D51" s="24"/>
      <c r="E51" s="24"/>
      <c r="F51" s="21"/>
      <c r="G51" s="24"/>
      <c r="H51" s="24"/>
      <c r="I51" s="21"/>
      <c r="J51" s="24"/>
      <c r="K51" s="24"/>
      <c r="L51" s="21"/>
      <c r="M51" s="24"/>
      <c r="N51" s="24"/>
      <c r="O51" s="9">
        <f t="shared" si="0"/>
        <v>0</v>
      </c>
      <c r="P51" s="9">
        <f t="shared" si="1"/>
        <v>0</v>
      </c>
      <c r="Q51" s="9">
        <f t="shared" si="5"/>
        <v>0</v>
      </c>
      <c r="R51" s="48">
        <f t="shared" si="2"/>
        <v>1</v>
      </c>
      <c r="S51" s="48">
        <f t="shared" si="3"/>
        <v>1</v>
      </c>
      <c r="T51" s="48">
        <f t="shared" si="4"/>
        <v>1</v>
      </c>
    </row>
    <row r="52" spans="1:20">
      <c r="A52" s="7">
        <v>50</v>
      </c>
      <c r="B52" s="7"/>
      <c r="C52" s="21"/>
      <c r="D52" s="24"/>
      <c r="E52" s="24"/>
      <c r="F52" s="21"/>
      <c r="G52" s="24"/>
      <c r="H52" s="24"/>
      <c r="I52" s="21"/>
      <c r="J52" s="24"/>
      <c r="K52" s="24"/>
      <c r="L52" s="21"/>
      <c r="M52" s="24"/>
      <c r="N52" s="24"/>
      <c r="O52" s="9">
        <f t="shared" si="0"/>
        <v>0</v>
      </c>
      <c r="P52" s="9">
        <f t="shared" si="1"/>
        <v>0</v>
      </c>
      <c r="Q52" s="9">
        <f t="shared" si="5"/>
        <v>0</v>
      </c>
      <c r="R52" s="48">
        <f t="shared" si="2"/>
        <v>1</v>
      </c>
      <c r="S52" s="48">
        <f t="shared" si="3"/>
        <v>1</v>
      </c>
      <c r="T52" s="48">
        <f t="shared" si="4"/>
        <v>1</v>
      </c>
    </row>
    <row r="53" spans="1:20" ht="18.75">
      <c r="I53" s="94" t="s">
        <v>370</v>
      </c>
      <c r="J53" s="94"/>
      <c r="K53" s="94"/>
      <c r="L53" s="26"/>
      <c r="M53" s="45"/>
      <c r="N53" s="45"/>
      <c r="O53" s="18">
        <f>AVERAGE(O$3:O$52)</f>
        <v>0</v>
      </c>
      <c r="P53" s="18">
        <f>AVERAGE(P$3:P$52)</f>
        <v>0</v>
      </c>
      <c r="Q53" s="18">
        <f>AVERAGE(Q$3:Q$52)</f>
        <v>0</v>
      </c>
      <c r="R53" s="19">
        <f t="shared" ref="R53" si="6">AVERAGE(R$3:R$52)</f>
        <v>1</v>
      </c>
      <c r="S53" s="19">
        <f>AVERAGE(S$3:S$52)</f>
        <v>1</v>
      </c>
      <c r="T53" s="19">
        <f>AVERAGE(T$3:T$52)</f>
        <v>1</v>
      </c>
    </row>
    <row r="54" spans="1:20" ht="18.75">
      <c r="I54" s="95" t="s">
        <v>371</v>
      </c>
      <c r="J54" s="95"/>
      <c r="K54" s="95"/>
      <c r="L54" s="27"/>
      <c r="M54" s="46"/>
      <c r="N54" s="46"/>
      <c r="O54" s="14">
        <f>MIN(O$3:O$52)</f>
        <v>0</v>
      </c>
      <c r="P54" s="14">
        <f>MIN(P$3:P$52)</f>
        <v>0</v>
      </c>
      <c r="Q54" s="14">
        <f>MIN(Q$3:Q$52)</f>
        <v>0</v>
      </c>
      <c r="R54" s="15">
        <f t="shared" ref="R54" si="7">MIN(R$3:R$52)</f>
        <v>1</v>
      </c>
      <c r="S54" s="15">
        <f>MIN(S$3:S$52)</f>
        <v>1</v>
      </c>
      <c r="T54" s="15">
        <f>MIN(T$3:T$52)</f>
        <v>1</v>
      </c>
    </row>
    <row r="55" spans="1:20" ht="18.75">
      <c r="I55" s="96" t="s">
        <v>372</v>
      </c>
      <c r="J55" s="96"/>
      <c r="K55" s="96"/>
      <c r="L55" s="28"/>
      <c r="M55" s="47"/>
      <c r="N55" s="47"/>
      <c r="O55" s="16">
        <f>MAX(O$3:O$52)</f>
        <v>0</v>
      </c>
      <c r="P55" s="16">
        <f>MAX(P$3:P$52)</f>
        <v>0</v>
      </c>
      <c r="Q55" s="16">
        <f>MAX(Q$3:Q$52)</f>
        <v>0</v>
      </c>
      <c r="R55" s="17">
        <f t="shared" ref="R55:T55" si="8">MAX(R$3:R$52)</f>
        <v>1</v>
      </c>
      <c r="S55" s="17">
        <f t="shared" si="8"/>
        <v>1</v>
      </c>
      <c r="T55" s="17">
        <f t="shared" si="8"/>
        <v>1</v>
      </c>
    </row>
    <row r="56" spans="1:20" ht="31.5">
      <c r="O56" s="11" t="s">
        <v>211</v>
      </c>
      <c r="P56" s="10" t="s">
        <v>528</v>
      </c>
      <c r="Q56" s="36" t="s">
        <v>578</v>
      </c>
      <c r="R56" s="23" t="s">
        <v>290</v>
      </c>
      <c r="S56" s="43" t="s">
        <v>529</v>
      </c>
      <c r="T56" s="44" t="s">
        <v>579</v>
      </c>
    </row>
  </sheetData>
  <mergeCells count="10">
    <mergeCell ref="L1:N1"/>
    <mergeCell ref="O1:T1"/>
    <mergeCell ref="I53:K53"/>
    <mergeCell ref="I54:K54"/>
    <mergeCell ref="I55:K55"/>
    <mergeCell ref="A1:A2"/>
    <mergeCell ref="B1:B2"/>
    <mergeCell ref="C1:E1"/>
    <mergeCell ref="F1:H1"/>
    <mergeCell ref="I1:K1"/>
  </mergeCells>
  <conditionalFormatting sqref="O1:O52 O56:O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6:Q1048576 P2:Q5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6:T1048576 R2:T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7201-5056-4598-B6C2-CCF66112F4A3}">
  <dimension ref="A1:O55"/>
  <sheetViews>
    <sheetView zoomScale="70" zoomScaleNormal="70" workbookViewId="0">
      <selection activeCell="H15" sqref="H15"/>
    </sheetView>
  </sheetViews>
  <sheetFormatPr baseColWidth="10" defaultRowHeight="15"/>
  <cols>
    <col min="1" max="1" width="8.140625" style="5" bestFit="1" customWidth="1"/>
    <col min="2" max="2" width="18.7109375" style="5" bestFit="1" customWidth="1"/>
    <col min="3" max="3" width="16" style="22" bestFit="1" customWidth="1"/>
    <col min="4" max="4" width="12.140625" style="25" bestFit="1" customWidth="1"/>
    <col min="5" max="5" width="12" style="25" bestFit="1" customWidth="1"/>
    <col min="6" max="6" width="16" style="22" bestFit="1" customWidth="1"/>
    <col min="7" max="7" width="12.42578125" style="25" bestFit="1" customWidth="1"/>
    <col min="8" max="8" width="12.140625" style="25" bestFit="1" customWidth="1"/>
    <col min="9" max="9" width="16" style="22" bestFit="1" customWidth="1"/>
    <col min="10" max="10" width="12.42578125" style="25" bestFit="1" customWidth="1"/>
    <col min="11" max="11" width="12.140625" style="25" bestFit="1" customWidth="1"/>
    <col min="12" max="13" width="14.42578125" style="6" bestFit="1" customWidth="1"/>
    <col min="14" max="15" width="16.42578125" style="49" bestFit="1" customWidth="1"/>
    <col min="16" max="16384" width="11.42578125" style="5"/>
  </cols>
  <sheetData>
    <row r="1" spans="1:15" ht="15.75">
      <c r="A1" s="84" t="s">
        <v>176</v>
      </c>
      <c r="B1" s="84" t="s">
        <v>0</v>
      </c>
      <c r="C1" s="85" t="s">
        <v>177</v>
      </c>
      <c r="D1" s="85"/>
      <c r="E1" s="85"/>
      <c r="F1" s="86" t="s">
        <v>377</v>
      </c>
      <c r="G1" s="86"/>
      <c r="H1" s="86"/>
      <c r="I1" s="87" t="s">
        <v>525</v>
      </c>
      <c r="J1" s="87"/>
      <c r="K1" s="87"/>
      <c r="L1" s="91" t="s">
        <v>210</v>
      </c>
      <c r="M1" s="92"/>
      <c r="N1" s="92"/>
      <c r="O1" s="92"/>
    </row>
    <row r="2" spans="1:15" ht="31.5">
      <c r="A2" s="84"/>
      <c r="B2" s="84"/>
      <c r="C2" s="32" t="s">
        <v>1</v>
      </c>
      <c r="D2" s="23" t="s">
        <v>373</v>
      </c>
      <c r="E2" s="23" t="s">
        <v>375</v>
      </c>
      <c r="F2" s="33" t="s">
        <v>1</v>
      </c>
      <c r="G2" s="42" t="s">
        <v>374</v>
      </c>
      <c r="H2" s="42" t="s">
        <v>376</v>
      </c>
      <c r="I2" s="34" t="s">
        <v>1</v>
      </c>
      <c r="J2" s="43" t="s">
        <v>526</v>
      </c>
      <c r="K2" s="43" t="s">
        <v>527</v>
      </c>
      <c r="L2" s="11" t="s">
        <v>211</v>
      </c>
      <c r="M2" s="10" t="s">
        <v>528</v>
      </c>
      <c r="N2" s="23" t="s">
        <v>290</v>
      </c>
      <c r="O2" s="43" t="s">
        <v>529</v>
      </c>
    </row>
    <row r="3" spans="1:15" ht="45">
      <c r="A3" s="7">
        <v>1</v>
      </c>
      <c r="B3" s="8" t="s">
        <v>179</v>
      </c>
      <c r="C3" s="21" t="s">
        <v>204</v>
      </c>
      <c r="D3" s="24">
        <v>0.25</v>
      </c>
      <c r="E3" s="24">
        <v>0.01</v>
      </c>
      <c r="F3" s="21" t="s">
        <v>204</v>
      </c>
      <c r="G3" s="24">
        <v>0.25</v>
      </c>
      <c r="H3" s="24">
        <v>0</v>
      </c>
      <c r="I3" s="21" t="s">
        <v>204</v>
      </c>
      <c r="J3" s="24">
        <v>0.25</v>
      </c>
      <c r="K3" s="24">
        <v>11.84</v>
      </c>
      <c r="L3" s="9">
        <f t="shared" ref="L3:L34" si="0">ABS(D3-G3)/IF(D3=0,1,D3)</f>
        <v>0</v>
      </c>
      <c r="M3" s="9">
        <f t="shared" ref="M3:M34" si="1">ABS(D3-J3)/IF(D3=0,1,D3)</f>
        <v>0</v>
      </c>
      <c r="N3" s="48">
        <f t="shared" ref="N3:N34" si="2">ROUND(IF(E3&lt;H3, -(H3/IF(E3=0,1,E3)), IF(E3=0,1,E3)/IF(H3=0,1,H3)), 2)</f>
        <v>0.01</v>
      </c>
      <c r="O3" s="48">
        <f t="shared" ref="O3:O34" si="3">ROUND(IF(H3&lt;K3, -(K3/IF(H3=0,1,H3)), IF(H3=0,1,H3)/IF(K3=0,1,K3)), 2)</f>
        <v>-11.84</v>
      </c>
    </row>
    <row r="4" spans="1:15" ht="45">
      <c r="A4" s="7">
        <v>2</v>
      </c>
      <c r="B4" s="8" t="s">
        <v>180</v>
      </c>
      <c r="C4" s="21" t="s">
        <v>205</v>
      </c>
      <c r="D4" s="24">
        <v>0.25</v>
      </c>
      <c r="E4" s="24">
        <v>0</v>
      </c>
      <c r="F4" s="21" t="s">
        <v>205</v>
      </c>
      <c r="G4" s="24">
        <v>0.25</v>
      </c>
      <c r="H4" s="24">
        <v>0</v>
      </c>
      <c r="I4" s="21" t="s">
        <v>205</v>
      </c>
      <c r="J4" s="24">
        <v>0.25</v>
      </c>
      <c r="K4" s="24">
        <v>11.44</v>
      </c>
      <c r="L4" s="9">
        <f t="shared" si="0"/>
        <v>0</v>
      </c>
      <c r="M4" s="9">
        <f t="shared" si="1"/>
        <v>0</v>
      </c>
      <c r="N4" s="48">
        <f t="shared" si="2"/>
        <v>1</v>
      </c>
      <c r="O4" s="48">
        <f t="shared" si="3"/>
        <v>-11.44</v>
      </c>
    </row>
    <row r="5" spans="1:15" ht="45">
      <c r="A5" s="7">
        <v>3</v>
      </c>
      <c r="B5" s="8" t="s">
        <v>182</v>
      </c>
      <c r="C5" s="21" t="s">
        <v>206</v>
      </c>
      <c r="D5" s="24">
        <v>0</v>
      </c>
      <c r="E5" s="24">
        <v>0</v>
      </c>
      <c r="F5" s="21" t="s">
        <v>206</v>
      </c>
      <c r="G5" s="24">
        <v>0</v>
      </c>
      <c r="H5" s="24">
        <v>0</v>
      </c>
      <c r="I5" s="21" t="s">
        <v>206</v>
      </c>
      <c r="J5" s="24">
        <v>0</v>
      </c>
      <c r="K5" s="24">
        <v>10.95</v>
      </c>
      <c r="L5" s="9">
        <f t="shared" si="0"/>
        <v>0</v>
      </c>
      <c r="M5" s="9">
        <f t="shared" si="1"/>
        <v>0</v>
      </c>
      <c r="N5" s="48">
        <f t="shared" si="2"/>
        <v>1</v>
      </c>
      <c r="O5" s="48">
        <f t="shared" si="3"/>
        <v>-10.95</v>
      </c>
    </row>
    <row r="6" spans="1:15" ht="45">
      <c r="A6" s="7">
        <v>4</v>
      </c>
      <c r="B6" s="8" t="s">
        <v>183</v>
      </c>
      <c r="C6" s="21" t="s">
        <v>207</v>
      </c>
      <c r="D6" s="24">
        <v>0</v>
      </c>
      <c r="E6" s="24">
        <v>0.01</v>
      </c>
      <c r="F6" s="21" t="s">
        <v>209</v>
      </c>
      <c r="G6" s="24">
        <v>0</v>
      </c>
      <c r="H6" s="24">
        <v>0</v>
      </c>
      <c r="I6" s="21" t="s">
        <v>209</v>
      </c>
      <c r="J6" s="24">
        <v>0</v>
      </c>
      <c r="K6" s="24">
        <v>11.03</v>
      </c>
      <c r="L6" s="9">
        <f t="shared" si="0"/>
        <v>0</v>
      </c>
      <c r="M6" s="9">
        <f t="shared" si="1"/>
        <v>0</v>
      </c>
      <c r="N6" s="48">
        <f t="shared" si="2"/>
        <v>0.01</v>
      </c>
      <c r="O6" s="48">
        <f t="shared" si="3"/>
        <v>-11.03</v>
      </c>
    </row>
    <row r="7" spans="1:15" ht="45">
      <c r="A7" s="7">
        <v>5</v>
      </c>
      <c r="B7" s="8" t="s">
        <v>181</v>
      </c>
      <c r="C7" s="21" t="s">
        <v>208</v>
      </c>
      <c r="D7" s="24">
        <v>0</v>
      </c>
      <c r="E7" s="24">
        <v>0.02</v>
      </c>
      <c r="F7" s="21" t="s">
        <v>208</v>
      </c>
      <c r="G7" s="24">
        <v>0</v>
      </c>
      <c r="H7" s="24">
        <v>0</v>
      </c>
      <c r="I7" s="21" t="s">
        <v>208</v>
      </c>
      <c r="J7" s="24">
        <v>0</v>
      </c>
      <c r="K7" s="24">
        <v>10.86</v>
      </c>
      <c r="L7" s="9">
        <f t="shared" si="0"/>
        <v>0</v>
      </c>
      <c r="M7" s="9">
        <f t="shared" si="1"/>
        <v>0</v>
      </c>
      <c r="N7" s="48">
        <f t="shared" si="2"/>
        <v>0.02</v>
      </c>
      <c r="O7" s="48">
        <f t="shared" si="3"/>
        <v>-10.86</v>
      </c>
    </row>
    <row r="8" spans="1:15" ht="45">
      <c r="A8" s="7">
        <v>6</v>
      </c>
      <c r="B8" s="8" t="s">
        <v>183</v>
      </c>
      <c r="C8" s="21" t="s">
        <v>207</v>
      </c>
      <c r="D8" s="24">
        <v>0</v>
      </c>
      <c r="E8" s="24">
        <v>0.06</v>
      </c>
      <c r="F8" s="21" t="s">
        <v>209</v>
      </c>
      <c r="G8" s="24">
        <v>0</v>
      </c>
      <c r="H8" s="24">
        <v>0</v>
      </c>
      <c r="I8" s="21" t="s">
        <v>209</v>
      </c>
      <c r="J8" s="24">
        <v>0</v>
      </c>
      <c r="K8" s="24">
        <v>11.07</v>
      </c>
      <c r="L8" s="9">
        <f t="shared" si="0"/>
        <v>0</v>
      </c>
      <c r="M8" s="9">
        <f t="shared" si="1"/>
        <v>0</v>
      </c>
      <c r="N8" s="48">
        <f t="shared" si="2"/>
        <v>0.06</v>
      </c>
      <c r="O8" s="48">
        <f t="shared" si="3"/>
        <v>-11.07</v>
      </c>
    </row>
    <row r="9" spans="1:15" ht="45">
      <c r="A9" s="7">
        <v>7</v>
      </c>
      <c r="B9" s="8" t="s">
        <v>180</v>
      </c>
      <c r="C9" s="21" t="s">
        <v>205</v>
      </c>
      <c r="D9" s="24">
        <v>0.25</v>
      </c>
      <c r="E9" s="24">
        <v>0.21</v>
      </c>
      <c r="F9" s="21" t="s">
        <v>205</v>
      </c>
      <c r="G9" s="24">
        <v>0.25</v>
      </c>
      <c r="H9" s="24">
        <v>0</v>
      </c>
      <c r="I9" s="21" t="s">
        <v>205</v>
      </c>
      <c r="J9" s="24">
        <v>0.25</v>
      </c>
      <c r="K9" s="24">
        <v>10.84</v>
      </c>
      <c r="L9" s="9">
        <f t="shared" si="0"/>
        <v>0</v>
      </c>
      <c r="M9" s="9">
        <f t="shared" si="1"/>
        <v>0</v>
      </c>
      <c r="N9" s="48">
        <f t="shared" si="2"/>
        <v>0.21</v>
      </c>
      <c r="O9" s="48">
        <f t="shared" si="3"/>
        <v>-10.84</v>
      </c>
    </row>
    <row r="10" spans="1:15" ht="45">
      <c r="A10" s="7">
        <v>8</v>
      </c>
      <c r="B10" s="8" t="s">
        <v>184</v>
      </c>
      <c r="C10" s="21" t="s">
        <v>212</v>
      </c>
      <c r="D10" s="24">
        <v>0</v>
      </c>
      <c r="E10" s="24">
        <v>0</v>
      </c>
      <c r="F10" s="21" t="s">
        <v>232</v>
      </c>
      <c r="G10" s="24">
        <v>0.25</v>
      </c>
      <c r="H10" s="24">
        <v>0</v>
      </c>
      <c r="I10" s="21" t="s">
        <v>232</v>
      </c>
      <c r="J10" s="24">
        <v>0.25</v>
      </c>
      <c r="K10" s="24">
        <v>10.84</v>
      </c>
      <c r="L10" s="9">
        <f t="shared" si="0"/>
        <v>0.25</v>
      </c>
      <c r="M10" s="9">
        <f t="shared" si="1"/>
        <v>0.25</v>
      </c>
      <c r="N10" s="48">
        <f t="shared" si="2"/>
        <v>1</v>
      </c>
      <c r="O10" s="48">
        <f t="shared" si="3"/>
        <v>-10.84</v>
      </c>
    </row>
    <row r="11" spans="1:15" ht="45">
      <c r="A11" s="7">
        <v>9</v>
      </c>
      <c r="B11" s="8" t="s">
        <v>185</v>
      </c>
      <c r="C11" s="21" t="s">
        <v>213</v>
      </c>
      <c r="D11" s="24">
        <v>0</v>
      </c>
      <c r="E11" s="24">
        <v>0</v>
      </c>
      <c r="F11" s="21" t="s">
        <v>233</v>
      </c>
      <c r="G11" s="24">
        <v>0.25</v>
      </c>
      <c r="H11" s="24">
        <v>0</v>
      </c>
      <c r="I11" s="21" t="s">
        <v>233</v>
      </c>
      <c r="J11" s="24">
        <v>0.25</v>
      </c>
      <c r="K11" s="24">
        <v>10.98</v>
      </c>
      <c r="L11" s="9">
        <f t="shared" si="0"/>
        <v>0.25</v>
      </c>
      <c r="M11" s="9">
        <f t="shared" si="1"/>
        <v>0.25</v>
      </c>
      <c r="N11" s="48">
        <f t="shared" si="2"/>
        <v>1</v>
      </c>
      <c r="O11" s="48">
        <f t="shared" si="3"/>
        <v>-10.98</v>
      </c>
    </row>
    <row r="12" spans="1:15" ht="45">
      <c r="A12" s="7">
        <v>10</v>
      </c>
      <c r="B12" s="8" t="s">
        <v>187</v>
      </c>
      <c r="C12" s="21" t="s">
        <v>214</v>
      </c>
      <c r="D12" s="24">
        <v>0.25</v>
      </c>
      <c r="E12" s="24">
        <v>0</v>
      </c>
      <c r="F12" s="21" t="s">
        <v>214</v>
      </c>
      <c r="G12" s="24">
        <v>0.25</v>
      </c>
      <c r="H12" s="24">
        <v>0</v>
      </c>
      <c r="I12" s="21" t="s">
        <v>214</v>
      </c>
      <c r="J12" s="24">
        <v>0.25</v>
      </c>
      <c r="K12" s="24">
        <v>11.04</v>
      </c>
      <c r="L12" s="9">
        <f t="shared" si="0"/>
        <v>0</v>
      </c>
      <c r="M12" s="9">
        <f t="shared" si="1"/>
        <v>0</v>
      </c>
      <c r="N12" s="48">
        <f t="shared" si="2"/>
        <v>1</v>
      </c>
      <c r="O12" s="48">
        <f t="shared" si="3"/>
        <v>-11.04</v>
      </c>
    </row>
    <row r="13" spans="1:15" ht="45">
      <c r="A13" s="7">
        <v>11</v>
      </c>
      <c r="B13" s="8" t="s">
        <v>188</v>
      </c>
      <c r="C13" s="21" t="s">
        <v>215</v>
      </c>
      <c r="D13" s="24">
        <v>0</v>
      </c>
      <c r="E13" s="24">
        <v>0.01</v>
      </c>
      <c r="F13" s="21" t="s">
        <v>215</v>
      </c>
      <c r="G13" s="24">
        <v>0</v>
      </c>
      <c r="H13" s="24">
        <v>0</v>
      </c>
      <c r="I13" s="21" t="s">
        <v>215</v>
      </c>
      <c r="J13" s="24">
        <v>0</v>
      </c>
      <c r="K13" s="24">
        <v>10.89</v>
      </c>
      <c r="L13" s="9">
        <f t="shared" si="0"/>
        <v>0</v>
      </c>
      <c r="M13" s="9">
        <f t="shared" si="1"/>
        <v>0</v>
      </c>
      <c r="N13" s="48">
        <f t="shared" si="2"/>
        <v>0.01</v>
      </c>
      <c r="O13" s="48">
        <f t="shared" si="3"/>
        <v>-10.89</v>
      </c>
    </row>
    <row r="14" spans="1:15" ht="45">
      <c r="A14" s="7">
        <v>12</v>
      </c>
      <c r="B14" s="8" t="s">
        <v>186</v>
      </c>
      <c r="C14" s="21" t="s">
        <v>216</v>
      </c>
      <c r="D14" s="24">
        <v>0</v>
      </c>
      <c r="E14" s="24">
        <v>0.02</v>
      </c>
      <c r="F14" s="21" t="s">
        <v>234</v>
      </c>
      <c r="G14" s="24">
        <v>0.25</v>
      </c>
      <c r="H14" s="24">
        <v>0</v>
      </c>
      <c r="I14" s="21" t="s">
        <v>234</v>
      </c>
      <c r="J14" s="24">
        <v>0.25</v>
      </c>
      <c r="K14" s="24">
        <v>10.82</v>
      </c>
      <c r="L14" s="9">
        <f t="shared" si="0"/>
        <v>0.25</v>
      </c>
      <c r="M14" s="9">
        <f t="shared" si="1"/>
        <v>0.25</v>
      </c>
      <c r="N14" s="48">
        <f t="shared" si="2"/>
        <v>0.02</v>
      </c>
      <c r="O14" s="48">
        <f t="shared" si="3"/>
        <v>-10.82</v>
      </c>
    </row>
    <row r="15" spans="1:15" ht="45">
      <c r="A15" s="7">
        <v>13</v>
      </c>
      <c r="B15" s="8" t="s">
        <v>188</v>
      </c>
      <c r="C15" s="21" t="s">
        <v>215</v>
      </c>
      <c r="D15" s="24">
        <v>0</v>
      </c>
      <c r="E15" s="24">
        <v>0.05</v>
      </c>
      <c r="F15" s="21" t="s">
        <v>215</v>
      </c>
      <c r="G15" s="24">
        <v>0</v>
      </c>
      <c r="H15" s="24">
        <v>0</v>
      </c>
      <c r="I15" s="21" t="s">
        <v>215</v>
      </c>
      <c r="J15" s="24">
        <v>0</v>
      </c>
      <c r="K15" s="24">
        <v>10.68</v>
      </c>
      <c r="L15" s="9">
        <f t="shared" si="0"/>
        <v>0</v>
      </c>
      <c r="M15" s="9">
        <f t="shared" si="1"/>
        <v>0</v>
      </c>
      <c r="N15" s="48">
        <f t="shared" si="2"/>
        <v>0.05</v>
      </c>
      <c r="O15" s="48">
        <f t="shared" si="3"/>
        <v>-10.68</v>
      </c>
    </row>
    <row r="16" spans="1:15" ht="45">
      <c r="A16" s="7">
        <v>14</v>
      </c>
      <c r="B16" s="8" t="s">
        <v>185</v>
      </c>
      <c r="C16" s="21" t="s">
        <v>213</v>
      </c>
      <c r="D16" s="24">
        <v>0</v>
      </c>
      <c r="E16" s="24">
        <v>0.19</v>
      </c>
      <c r="F16" s="21" t="s">
        <v>233</v>
      </c>
      <c r="G16" s="24">
        <v>0.25</v>
      </c>
      <c r="H16" s="24">
        <v>0</v>
      </c>
      <c r="I16" s="21" t="s">
        <v>233</v>
      </c>
      <c r="J16" s="24">
        <v>0.25</v>
      </c>
      <c r="K16" s="24">
        <v>10.72</v>
      </c>
      <c r="L16" s="9">
        <f t="shared" si="0"/>
        <v>0.25</v>
      </c>
      <c r="M16" s="9">
        <f t="shared" si="1"/>
        <v>0.25</v>
      </c>
      <c r="N16" s="48">
        <f t="shared" si="2"/>
        <v>0.19</v>
      </c>
      <c r="O16" s="48">
        <f t="shared" si="3"/>
        <v>-10.72</v>
      </c>
    </row>
    <row r="17" spans="1:15" ht="45">
      <c r="A17" s="7">
        <v>15</v>
      </c>
      <c r="B17" s="8" t="s">
        <v>194</v>
      </c>
      <c r="C17" s="21" t="s">
        <v>217</v>
      </c>
      <c r="D17" s="24">
        <v>0</v>
      </c>
      <c r="E17" s="24">
        <v>0</v>
      </c>
      <c r="F17" s="21" t="s">
        <v>235</v>
      </c>
      <c r="G17" s="24">
        <v>0.25</v>
      </c>
      <c r="H17" s="24">
        <v>0</v>
      </c>
      <c r="I17" s="21" t="s">
        <v>235</v>
      </c>
      <c r="J17" s="24">
        <v>0.25</v>
      </c>
      <c r="K17" s="24">
        <v>10.67</v>
      </c>
      <c r="L17" s="9">
        <f t="shared" si="0"/>
        <v>0.25</v>
      </c>
      <c r="M17" s="9">
        <f t="shared" si="1"/>
        <v>0.25</v>
      </c>
      <c r="N17" s="48">
        <f t="shared" si="2"/>
        <v>1</v>
      </c>
      <c r="O17" s="48">
        <f t="shared" si="3"/>
        <v>-10.67</v>
      </c>
    </row>
    <row r="18" spans="1:15" ht="45">
      <c r="A18" s="7">
        <v>16</v>
      </c>
      <c r="B18" s="8" t="s">
        <v>195</v>
      </c>
      <c r="C18" s="21" t="s">
        <v>218</v>
      </c>
      <c r="D18" s="24">
        <v>0.25</v>
      </c>
      <c r="E18" s="24">
        <v>0</v>
      </c>
      <c r="F18" s="21" t="s">
        <v>218</v>
      </c>
      <c r="G18" s="24">
        <v>0.25</v>
      </c>
      <c r="H18" s="24">
        <v>0</v>
      </c>
      <c r="I18" s="21" t="s">
        <v>218</v>
      </c>
      <c r="J18" s="24">
        <v>0.25</v>
      </c>
      <c r="K18" s="24">
        <v>10.92</v>
      </c>
      <c r="L18" s="9">
        <f t="shared" si="0"/>
        <v>0</v>
      </c>
      <c r="M18" s="9">
        <f t="shared" si="1"/>
        <v>0</v>
      </c>
      <c r="N18" s="48">
        <f t="shared" si="2"/>
        <v>1</v>
      </c>
      <c r="O18" s="48">
        <f t="shared" si="3"/>
        <v>-10.92</v>
      </c>
    </row>
    <row r="19" spans="1:15" ht="45">
      <c r="A19" s="7">
        <v>17</v>
      </c>
      <c r="B19" s="8" t="s">
        <v>197</v>
      </c>
      <c r="C19" s="21" t="s">
        <v>219</v>
      </c>
      <c r="D19" s="24">
        <v>0</v>
      </c>
      <c r="E19" s="24">
        <v>0</v>
      </c>
      <c r="F19" s="21" t="s">
        <v>219</v>
      </c>
      <c r="G19" s="24">
        <v>0</v>
      </c>
      <c r="H19" s="24">
        <v>0</v>
      </c>
      <c r="I19" s="21" t="s">
        <v>219</v>
      </c>
      <c r="J19" s="24">
        <v>0</v>
      </c>
      <c r="K19" s="24">
        <v>10.77</v>
      </c>
      <c r="L19" s="9">
        <f t="shared" si="0"/>
        <v>0</v>
      </c>
      <c r="M19" s="9">
        <f t="shared" si="1"/>
        <v>0</v>
      </c>
      <c r="N19" s="48">
        <f t="shared" si="2"/>
        <v>1</v>
      </c>
      <c r="O19" s="48">
        <f t="shared" si="3"/>
        <v>-10.77</v>
      </c>
    </row>
    <row r="20" spans="1:15" ht="45">
      <c r="A20" s="7">
        <v>18</v>
      </c>
      <c r="B20" s="8" t="s">
        <v>198</v>
      </c>
      <c r="C20" s="21" t="s">
        <v>220</v>
      </c>
      <c r="D20" s="24">
        <v>0</v>
      </c>
      <c r="E20" s="24">
        <v>0.01</v>
      </c>
      <c r="F20" s="21" t="s">
        <v>236</v>
      </c>
      <c r="G20" s="24">
        <v>0</v>
      </c>
      <c r="H20" s="24">
        <v>0</v>
      </c>
      <c r="I20" s="21" t="s">
        <v>236</v>
      </c>
      <c r="J20" s="24">
        <v>0</v>
      </c>
      <c r="K20" s="24">
        <v>10.96</v>
      </c>
      <c r="L20" s="9">
        <f t="shared" si="0"/>
        <v>0</v>
      </c>
      <c r="M20" s="9">
        <f t="shared" si="1"/>
        <v>0</v>
      </c>
      <c r="N20" s="48">
        <f t="shared" si="2"/>
        <v>0.01</v>
      </c>
      <c r="O20" s="48">
        <f t="shared" si="3"/>
        <v>-10.96</v>
      </c>
    </row>
    <row r="21" spans="1:15" ht="45">
      <c r="A21" s="7">
        <v>19</v>
      </c>
      <c r="B21" s="8" t="s">
        <v>196</v>
      </c>
      <c r="C21" s="21" t="s">
        <v>221</v>
      </c>
      <c r="D21" s="24">
        <v>0</v>
      </c>
      <c r="E21" s="24">
        <v>0.02</v>
      </c>
      <c r="F21" s="21" t="s">
        <v>237</v>
      </c>
      <c r="G21" s="24">
        <v>0</v>
      </c>
      <c r="H21" s="24">
        <v>0</v>
      </c>
      <c r="I21" s="21" t="s">
        <v>237</v>
      </c>
      <c r="J21" s="24">
        <v>0</v>
      </c>
      <c r="K21" s="24">
        <v>11.1</v>
      </c>
      <c r="L21" s="9">
        <f t="shared" si="0"/>
        <v>0</v>
      </c>
      <c r="M21" s="9">
        <f t="shared" si="1"/>
        <v>0</v>
      </c>
      <c r="N21" s="48">
        <f t="shared" si="2"/>
        <v>0.02</v>
      </c>
      <c r="O21" s="48">
        <f t="shared" si="3"/>
        <v>-11.1</v>
      </c>
    </row>
    <row r="22" spans="1:15" ht="45">
      <c r="A22" s="7">
        <v>20</v>
      </c>
      <c r="B22" s="8" t="s">
        <v>198</v>
      </c>
      <c r="C22" s="21" t="s">
        <v>220</v>
      </c>
      <c r="D22" s="24">
        <v>0</v>
      </c>
      <c r="E22" s="24">
        <v>0.05</v>
      </c>
      <c r="F22" s="21" t="s">
        <v>236</v>
      </c>
      <c r="G22" s="24">
        <v>0</v>
      </c>
      <c r="H22" s="24">
        <v>0</v>
      </c>
      <c r="I22" s="21" t="s">
        <v>236</v>
      </c>
      <c r="J22" s="24">
        <v>0</v>
      </c>
      <c r="K22" s="24">
        <v>10.66</v>
      </c>
      <c r="L22" s="9">
        <f t="shared" si="0"/>
        <v>0</v>
      </c>
      <c r="M22" s="9">
        <f t="shared" si="1"/>
        <v>0</v>
      </c>
      <c r="N22" s="48">
        <f t="shared" si="2"/>
        <v>0.05</v>
      </c>
      <c r="O22" s="48">
        <f t="shared" si="3"/>
        <v>-10.66</v>
      </c>
    </row>
    <row r="23" spans="1:15" ht="45">
      <c r="A23" s="7">
        <v>21</v>
      </c>
      <c r="B23" s="8" t="s">
        <v>195</v>
      </c>
      <c r="C23" s="21" t="s">
        <v>218</v>
      </c>
      <c r="D23" s="24">
        <v>0.25</v>
      </c>
      <c r="E23" s="24">
        <v>0.18</v>
      </c>
      <c r="F23" s="21" t="s">
        <v>218</v>
      </c>
      <c r="G23" s="24">
        <v>0.25</v>
      </c>
      <c r="H23" s="24">
        <v>0</v>
      </c>
      <c r="I23" s="21" t="s">
        <v>218</v>
      </c>
      <c r="J23" s="24">
        <v>0.25</v>
      </c>
      <c r="K23" s="24">
        <v>10.99</v>
      </c>
      <c r="L23" s="9">
        <f t="shared" si="0"/>
        <v>0</v>
      </c>
      <c r="M23" s="9">
        <f t="shared" si="1"/>
        <v>0</v>
      </c>
      <c r="N23" s="48">
        <f t="shared" si="2"/>
        <v>0.18</v>
      </c>
      <c r="O23" s="48">
        <f t="shared" si="3"/>
        <v>-10.99</v>
      </c>
    </row>
    <row r="24" spans="1:15" ht="45">
      <c r="A24" s="7">
        <v>22</v>
      </c>
      <c r="B24" s="8" t="s">
        <v>199</v>
      </c>
      <c r="C24" s="21" t="s">
        <v>222</v>
      </c>
      <c r="D24" s="24">
        <v>0</v>
      </c>
      <c r="E24" s="24">
        <v>0</v>
      </c>
      <c r="F24" s="21" t="s">
        <v>222</v>
      </c>
      <c r="G24" s="24">
        <v>0</v>
      </c>
      <c r="H24" s="24">
        <v>0</v>
      </c>
      <c r="I24" s="21" t="s">
        <v>222</v>
      </c>
      <c r="J24" s="24">
        <v>0</v>
      </c>
      <c r="K24" s="24">
        <v>11.76</v>
      </c>
      <c r="L24" s="9">
        <f t="shared" si="0"/>
        <v>0</v>
      </c>
      <c r="M24" s="9">
        <f t="shared" si="1"/>
        <v>0</v>
      </c>
      <c r="N24" s="48">
        <f t="shared" si="2"/>
        <v>1</v>
      </c>
      <c r="O24" s="48">
        <f t="shared" si="3"/>
        <v>-11.76</v>
      </c>
    </row>
    <row r="25" spans="1:15" ht="45">
      <c r="A25" s="7">
        <v>23</v>
      </c>
      <c r="B25" s="8" t="s">
        <v>200</v>
      </c>
      <c r="C25" s="21" t="s">
        <v>223</v>
      </c>
      <c r="D25" s="24">
        <v>0</v>
      </c>
      <c r="E25" s="24">
        <v>0</v>
      </c>
      <c r="F25" s="21" t="s">
        <v>238</v>
      </c>
      <c r="G25" s="24">
        <v>0.25</v>
      </c>
      <c r="H25" s="24">
        <v>0</v>
      </c>
      <c r="I25" s="21" t="s">
        <v>238</v>
      </c>
      <c r="J25" s="24">
        <v>0.25</v>
      </c>
      <c r="K25" s="24">
        <v>11.2</v>
      </c>
      <c r="L25" s="9">
        <f t="shared" si="0"/>
        <v>0.25</v>
      </c>
      <c r="M25" s="9">
        <f t="shared" si="1"/>
        <v>0.25</v>
      </c>
      <c r="N25" s="48">
        <f t="shared" si="2"/>
        <v>1</v>
      </c>
      <c r="O25" s="48">
        <f t="shared" si="3"/>
        <v>-11.2</v>
      </c>
    </row>
    <row r="26" spans="1:15" ht="45">
      <c r="A26" s="7">
        <v>24</v>
      </c>
      <c r="B26" s="8" t="s">
        <v>202</v>
      </c>
      <c r="C26" s="21" t="s">
        <v>224</v>
      </c>
      <c r="D26" s="24">
        <v>0</v>
      </c>
      <c r="E26" s="24">
        <v>0</v>
      </c>
      <c r="F26" s="21" t="s">
        <v>239</v>
      </c>
      <c r="G26" s="24">
        <v>0.25</v>
      </c>
      <c r="H26" s="24">
        <v>0</v>
      </c>
      <c r="I26" s="21" t="s">
        <v>239</v>
      </c>
      <c r="J26" s="24">
        <v>0.25</v>
      </c>
      <c r="K26" s="24">
        <v>10.87</v>
      </c>
      <c r="L26" s="9">
        <f t="shared" si="0"/>
        <v>0.25</v>
      </c>
      <c r="M26" s="9">
        <f t="shared" si="1"/>
        <v>0.25</v>
      </c>
      <c r="N26" s="48">
        <f t="shared" si="2"/>
        <v>1</v>
      </c>
      <c r="O26" s="48">
        <f t="shared" si="3"/>
        <v>-10.87</v>
      </c>
    </row>
    <row r="27" spans="1:15" ht="45">
      <c r="A27" s="7">
        <v>25</v>
      </c>
      <c r="B27" s="8" t="s">
        <v>203</v>
      </c>
      <c r="C27" s="21" t="s">
        <v>225</v>
      </c>
      <c r="D27" s="24">
        <v>0</v>
      </c>
      <c r="E27" s="24">
        <v>0.01</v>
      </c>
      <c r="F27" s="21" t="s">
        <v>240</v>
      </c>
      <c r="G27" s="24">
        <v>0</v>
      </c>
      <c r="H27" s="24">
        <v>0</v>
      </c>
      <c r="I27" s="21" t="s">
        <v>240</v>
      </c>
      <c r="J27" s="24">
        <v>0</v>
      </c>
      <c r="K27" s="24">
        <v>10.87</v>
      </c>
      <c r="L27" s="9">
        <f t="shared" si="0"/>
        <v>0</v>
      </c>
      <c r="M27" s="9">
        <f t="shared" si="1"/>
        <v>0</v>
      </c>
      <c r="N27" s="48">
        <f t="shared" si="2"/>
        <v>0.01</v>
      </c>
      <c r="O27" s="48">
        <f t="shared" si="3"/>
        <v>-10.87</v>
      </c>
    </row>
    <row r="28" spans="1:15" ht="45">
      <c r="A28" s="7">
        <v>26</v>
      </c>
      <c r="B28" s="8" t="s">
        <v>201</v>
      </c>
      <c r="C28" s="21" t="s">
        <v>226</v>
      </c>
      <c r="D28" s="24">
        <v>0</v>
      </c>
      <c r="E28" s="24">
        <v>0.02</v>
      </c>
      <c r="F28" s="21" t="s">
        <v>226</v>
      </c>
      <c r="G28" s="24">
        <v>0</v>
      </c>
      <c r="H28" s="24">
        <v>0</v>
      </c>
      <c r="I28" s="21" t="s">
        <v>226</v>
      </c>
      <c r="J28" s="24">
        <v>0</v>
      </c>
      <c r="K28" s="24">
        <v>10.68</v>
      </c>
      <c r="L28" s="9">
        <f t="shared" si="0"/>
        <v>0</v>
      </c>
      <c r="M28" s="9">
        <f t="shared" si="1"/>
        <v>0</v>
      </c>
      <c r="N28" s="48">
        <f t="shared" si="2"/>
        <v>0.02</v>
      </c>
      <c r="O28" s="48">
        <f t="shared" si="3"/>
        <v>-10.68</v>
      </c>
    </row>
    <row r="29" spans="1:15" ht="45">
      <c r="A29" s="7">
        <v>27</v>
      </c>
      <c r="B29" s="8" t="s">
        <v>203</v>
      </c>
      <c r="C29" s="21" t="s">
        <v>225</v>
      </c>
      <c r="D29" s="24">
        <v>0</v>
      </c>
      <c r="E29" s="24">
        <v>7.0000000000000007E-2</v>
      </c>
      <c r="F29" s="21" t="s">
        <v>240</v>
      </c>
      <c r="G29" s="24">
        <v>0</v>
      </c>
      <c r="H29" s="24">
        <v>0</v>
      </c>
      <c r="I29" s="21" t="s">
        <v>240</v>
      </c>
      <c r="J29" s="24">
        <v>0</v>
      </c>
      <c r="K29" s="24">
        <v>10.89</v>
      </c>
      <c r="L29" s="9">
        <f t="shared" si="0"/>
        <v>0</v>
      </c>
      <c r="M29" s="9">
        <f t="shared" si="1"/>
        <v>0</v>
      </c>
      <c r="N29" s="48">
        <f t="shared" si="2"/>
        <v>7.0000000000000007E-2</v>
      </c>
      <c r="O29" s="48">
        <f t="shared" si="3"/>
        <v>-10.89</v>
      </c>
    </row>
    <row r="30" spans="1:15" ht="45">
      <c r="A30" s="7">
        <v>28</v>
      </c>
      <c r="B30" s="8" t="s">
        <v>200</v>
      </c>
      <c r="C30" s="21" t="s">
        <v>223</v>
      </c>
      <c r="D30" s="24">
        <v>0</v>
      </c>
      <c r="E30" s="24">
        <v>0.17</v>
      </c>
      <c r="F30" s="21" t="s">
        <v>238</v>
      </c>
      <c r="G30" s="24">
        <v>0.25</v>
      </c>
      <c r="H30" s="24">
        <v>0</v>
      </c>
      <c r="I30" s="21" t="s">
        <v>238</v>
      </c>
      <c r="J30" s="24">
        <v>0.25</v>
      </c>
      <c r="K30" s="24">
        <v>10.88</v>
      </c>
      <c r="L30" s="9">
        <f t="shared" si="0"/>
        <v>0.25</v>
      </c>
      <c r="M30" s="9">
        <f t="shared" si="1"/>
        <v>0.25</v>
      </c>
      <c r="N30" s="48">
        <f t="shared" si="2"/>
        <v>0.17</v>
      </c>
      <c r="O30" s="48">
        <f t="shared" si="3"/>
        <v>-10.88</v>
      </c>
    </row>
    <row r="31" spans="1:15" ht="45">
      <c r="A31" s="7">
        <v>29</v>
      </c>
      <c r="B31" s="7" t="s">
        <v>189</v>
      </c>
      <c r="C31" s="21" t="s">
        <v>227</v>
      </c>
      <c r="D31" s="24">
        <v>0.5</v>
      </c>
      <c r="E31" s="24">
        <v>0</v>
      </c>
      <c r="F31" s="21" t="s">
        <v>227</v>
      </c>
      <c r="G31" s="24">
        <v>0.5</v>
      </c>
      <c r="H31" s="24">
        <v>0</v>
      </c>
      <c r="I31" s="21" t="s">
        <v>227</v>
      </c>
      <c r="J31" s="24">
        <v>0.5</v>
      </c>
      <c r="K31" s="24">
        <v>10.71</v>
      </c>
      <c r="L31" s="9">
        <f t="shared" si="0"/>
        <v>0</v>
      </c>
      <c r="M31" s="9">
        <f t="shared" si="1"/>
        <v>0</v>
      </c>
      <c r="N31" s="48">
        <f t="shared" si="2"/>
        <v>1</v>
      </c>
      <c r="O31" s="48">
        <f t="shared" si="3"/>
        <v>-10.71</v>
      </c>
    </row>
    <row r="32" spans="1:15" ht="45">
      <c r="A32" s="7">
        <v>30</v>
      </c>
      <c r="B32" s="7" t="s">
        <v>190</v>
      </c>
      <c r="C32" s="21" t="s">
        <v>228</v>
      </c>
      <c r="D32" s="24">
        <v>0.25</v>
      </c>
      <c r="E32" s="24">
        <v>0</v>
      </c>
      <c r="F32" s="21" t="s">
        <v>228</v>
      </c>
      <c r="G32" s="24">
        <v>0.25</v>
      </c>
      <c r="H32" s="24">
        <v>0</v>
      </c>
      <c r="I32" s="21" t="s">
        <v>228</v>
      </c>
      <c r="J32" s="24">
        <v>0.25</v>
      </c>
      <c r="K32" s="24">
        <v>10.88</v>
      </c>
      <c r="L32" s="9">
        <f t="shared" si="0"/>
        <v>0</v>
      </c>
      <c r="M32" s="9">
        <f t="shared" si="1"/>
        <v>0</v>
      </c>
      <c r="N32" s="48">
        <f t="shared" si="2"/>
        <v>1</v>
      </c>
      <c r="O32" s="48">
        <f t="shared" si="3"/>
        <v>-10.88</v>
      </c>
    </row>
    <row r="33" spans="1:15" ht="45">
      <c r="A33" s="7">
        <v>31</v>
      </c>
      <c r="B33" s="7" t="s">
        <v>192</v>
      </c>
      <c r="C33" s="21" t="s">
        <v>229</v>
      </c>
      <c r="D33" s="24">
        <v>0</v>
      </c>
      <c r="E33" s="24">
        <v>0</v>
      </c>
      <c r="F33" s="21" t="s">
        <v>229</v>
      </c>
      <c r="G33" s="24">
        <v>0</v>
      </c>
      <c r="H33" s="24">
        <v>0</v>
      </c>
      <c r="I33" s="21" t="s">
        <v>229</v>
      </c>
      <c r="J33" s="24">
        <v>0</v>
      </c>
      <c r="K33" s="24">
        <v>10.82</v>
      </c>
      <c r="L33" s="9">
        <f t="shared" si="0"/>
        <v>0</v>
      </c>
      <c r="M33" s="9">
        <f t="shared" si="1"/>
        <v>0</v>
      </c>
      <c r="N33" s="48">
        <f t="shared" si="2"/>
        <v>1</v>
      </c>
      <c r="O33" s="48">
        <f t="shared" si="3"/>
        <v>-10.82</v>
      </c>
    </row>
    <row r="34" spans="1:15" ht="45">
      <c r="A34" s="7">
        <v>32</v>
      </c>
      <c r="B34" s="7" t="s">
        <v>193</v>
      </c>
      <c r="C34" s="21" t="s">
        <v>230</v>
      </c>
      <c r="D34" s="24">
        <v>0</v>
      </c>
      <c r="E34" s="24">
        <v>0</v>
      </c>
      <c r="F34" s="21" t="s">
        <v>230</v>
      </c>
      <c r="G34" s="24">
        <v>0</v>
      </c>
      <c r="H34" s="24">
        <v>0</v>
      </c>
      <c r="I34" s="21" t="s">
        <v>230</v>
      </c>
      <c r="J34" s="24">
        <v>0</v>
      </c>
      <c r="K34" s="24">
        <v>10.77</v>
      </c>
      <c r="L34" s="9">
        <f t="shared" si="0"/>
        <v>0</v>
      </c>
      <c r="M34" s="9">
        <f t="shared" si="1"/>
        <v>0</v>
      </c>
      <c r="N34" s="48">
        <f t="shared" si="2"/>
        <v>1</v>
      </c>
      <c r="O34" s="48">
        <f t="shared" si="3"/>
        <v>-10.77</v>
      </c>
    </row>
    <row r="35" spans="1:15" ht="45">
      <c r="A35" s="7">
        <v>33</v>
      </c>
      <c r="B35" s="7" t="s">
        <v>191</v>
      </c>
      <c r="C35" s="21" t="s">
        <v>231</v>
      </c>
      <c r="D35" s="24">
        <v>0</v>
      </c>
      <c r="E35" s="24">
        <v>0.02</v>
      </c>
      <c r="F35" s="21" t="s">
        <v>231</v>
      </c>
      <c r="G35" s="24">
        <v>0</v>
      </c>
      <c r="H35" s="24">
        <v>0</v>
      </c>
      <c r="I35" s="21" t="s">
        <v>231</v>
      </c>
      <c r="J35" s="24">
        <v>0</v>
      </c>
      <c r="K35" s="24">
        <v>10.73</v>
      </c>
      <c r="L35" s="9">
        <f t="shared" ref="L35:L51" si="4">ABS(D35-G35)/IF(D35=0,1,D35)</f>
        <v>0</v>
      </c>
      <c r="M35" s="9">
        <f t="shared" ref="M35:M51" si="5">ABS(D35-J35)/IF(D35=0,1,D35)</f>
        <v>0</v>
      </c>
      <c r="N35" s="48">
        <f t="shared" ref="N35:N51" si="6">ROUND(IF(E35&lt;H35, -(H35/IF(E35=0,1,E35)), IF(E35=0,1,E35)/IF(H35=0,1,H35)), 2)</f>
        <v>0.02</v>
      </c>
      <c r="O35" s="48">
        <f t="shared" ref="O35:O51" si="7">ROUND(IF(H35&lt;K35, -(K35/IF(H35=0,1,H35)), IF(H35=0,1,H35)/IF(K35=0,1,K35)), 2)</f>
        <v>-10.73</v>
      </c>
    </row>
    <row r="36" spans="1:15" ht="45">
      <c r="A36" s="7">
        <v>34</v>
      </c>
      <c r="B36" s="7" t="s">
        <v>193</v>
      </c>
      <c r="C36" s="21" t="s">
        <v>230</v>
      </c>
      <c r="D36" s="24">
        <v>0</v>
      </c>
      <c r="E36" s="24">
        <v>0.05</v>
      </c>
      <c r="F36" s="21" t="s">
        <v>230</v>
      </c>
      <c r="G36" s="24">
        <v>0</v>
      </c>
      <c r="H36" s="24">
        <v>0</v>
      </c>
      <c r="I36" s="21" t="s">
        <v>230</v>
      </c>
      <c r="J36" s="24">
        <v>0</v>
      </c>
      <c r="K36" s="24">
        <v>11.63</v>
      </c>
      <c r="L36" s="9">
        <f t="shared" si="4"/>
        <v>0</v>
      </c>
      <c r="M36" s="9">
        <f t="shared" si="5"/>
        <v>0</v>
      </c>
      <c r="N36" s="48">
        <f t="shared" si="6"/>
        <v>0.05</v>
      </c>
      <c r="O36" s="48">
        <f t="shared" si="7"/>
        <v>-11.63</v>
      </c>
    </row>
    <row r="37" spans="1:15" ht="45">
      <c r="A37" s="7">
        <v>35</v>
      </c>
      <c r="B37" s="7" t="s">
        <v>190</v>
      </c>
      <c r="C37" s="21" t="s">
        <v>228</v>
      </c>
      <c r="D37" s="24">
        <v>0.25</v>
      </c>
      <c r="E37" s="24">
        <v>0.19</v>
      </c>
      <c r="F37" s="21" t="s">
        <v>228</v>
      </c>
      <c r="G37" s="24">
        <v>0.25</v>
      </c>
      <c r="H37" s="24">
        <v>0</v>
      </c>
      <c r="I37" s="21" t="s">
        <v>228</v>
      </c>
      <c r="J37" s="24">
        <v>0.25</v>
      </c>
      <c r="K37" s="24">
        <v>12.35</v>
      </c>
      <c r="L37" s="9">
        <f t="shared" si="4"/>
        <v>0</v>
      </c>
      <c r="M37" s="9">
        <f t="shared" si="5"/>
        <v>0</v>
      </c>
      <c r="N37" s="48">
        <f t="shared" si="6"/>
        <v>0.19</v>
      </c>
      <c r="O37" s="48">
        <f t="shared" si="7"/>
        <v>-12.35</v>
      </c>
    </row>
    <row r="38" spans="1:15" ht="45">
      <c r="A38" s="7">
        <v>36</v>
      </c>
      <c r="B38" s="7" t="s">
        <v>199</v>
      </c>
      <c r="C38" s="21" t="s">
        <v>222</v>
      </c>
      <c r="D38" s="24">
        <v>0</v>
      </c>
      <c r="E38" s="24">
        <v>0</v>
      </c>
      <c r="F38" s="21" t="s">
        <v>222</v>
      </c>
      <c r="G38" s="24">
        <v>0</v>
      </c>
      <c r="H38" s="24">
        <v>0</v>
      </c>
      <c r="I38" s="21" t="s">
        <v>222</v>
      </c>
      <c r="J38" s="24">
        <v>0</v>
      </c>
      <c r="K38" s="24">
        <v>12.36</v>
      </c>
      <c r="L38" s="9">
        <f t="shared" si="4"/>
        <v>0</v>
      </c>
      <c r="M38" s="9">
        <f t="shared" si="5"/>
        <v>0</v>
      </c>
      <c r="N38" s="48">
        <f t="shared" si="6"/>
        <v>1</v>
      </c>
      <c r="O38" s="48">
        <f t="shared" si="7"/>
        <v>-12.36</v>
      </c>
    </row>
    <row r="39" spans="1:15" ht="45">
      <c r="A39" s="7">
        <v>37</v>
      </c>
      <c r="B39" s="7" t="s">
        <v>200</v>
      </c>
      <c r="C39" s="21" t="s">
        <v>223</v>
      </c>
      <c r="D39" s="24">
        <v>0</v>
      </c>
      <c r="E39" s="24">
        <v>0</v>
      </c>
      <c r="F39" s="21" t="s">
        <v>238</v>
      </c>
      <c r="G39" s="24">
        <v>0.25</v>
      </c>
      <c r="H39" s="24">
        <v>0</v>
      </c>
      <c r="I39" s="21" t="s">
        <v>238</v>
      </c>
      <c r="J39" s="24">
        <v>0.25</v>
      </c>
      <c r="K39" s="24">
        <v>12.96</v>
      </c>
      <c r="L39" s="9">
        <f t="shared" si="4"/>
        <v>0.25</v>
      </c>
      <c r="M39" s="9">
        <f t="shared" si="5"/>
        <v>0.25</v>
      </c>
      <c r="N39" s="48">
        <f t="shared" si="6"/>
        <v>1</v>
      </c>
      <c r="O39" s="48">
        <f t="shared" si="7"/>
        <v>-12.96</v>
      </c>
    </row>
    <row r="40" spans="1:15" ht="45">
      <c r="A40" s="7">
        <v>38</v>
      </c>
      <c r="B40" s="7" t="s">
        <v>202</v>
      </c>
      <c r="C40" s="21" t="s">
        <v>224</v>
      </c>
      <c r="D40" s="24">
        <v>0</v>
      </c>
      <c r="E40" s="24">
        <v>0</v>
      </c>
      <c r="F40" s="21" t="s">
        <v>239</v>
      </c>
      <c r="G40" s="24">
        <v>0.25</v>
      </c>
      <c r="H40" s="24">
        <v>0</v>
      </c>
      <c r="I40" s="21" t="s">
        <v>239</v>
      </c>
      <c r="J40" s="24">
        <v>0.25</v>
      </c>
      <c r="K40" s="24">
        <v>12.2</v>
      </c>
      <c r="L40" s="9">
        <f t="shared" si="4"/>
        <v>0.25</v>
      </c>
      <c r="M40" s="9">
        <f t="shared" si="5"/>
        <v>0.25</v>
      </c>
      <c r="N40" s="48">
        <f t="shared" si="6"/>
        <v>1</v>
      </c>
      <c r="O40" s="48">
        <f t="shared" si="7"/>
        <v>-12.2</v>
      </c>
    </row>
    <row r="41" spans="1:15" ht="45">
      <c r="A41" s="7">
        <v>39</v>
      </c>
      <c r="B41" s="7" t="s">
        <v>203</v>
      </c>
      <c r="C41" s="21" t="s">
        <v>225</v>
      </c>
      <c r="D41" s="24">
        <v>0</v>
      </c>
      <c r="E41" s="24">
        <v>0</v>
      </c>
      <c r="F41" s="21" t="s">
        <v>240</v>
      </c>
      <c r="G41" s="24">
        <v>0</v>
      </c>
      <c r="H41" s="24">
        <v>0</v>
      </c>
      <c r="I41" s="21" t="s">
        <v>240</v>
      </c>
      <c r="J41" s="24">
        <v>0</v>
      </c>
      <c r="K41" s="24">
        <v>13.92</v>
      </c>
      <c r="L41" s="9">
        <f t="shared" si="4"/>
        <v>0</v>
      </c>
      <c r="M41" s="9">
        <f t="shared" si="5"/>
        <v>0</v>
      </c>
      <c r="N41" s="48">
        <f t="shared" si="6"/>
        <v>1</v>
      </c>
      <c r="O41" s="48">
        <f t="shared" si="7"/>
        <v>-13.92</v>
      </c>
    </row>
    <row r="42" spans="1:15" ht="45">
      <c r="A42" s="7">
        <v>40</v>
      </c>
      <c r="B42" s="7" t="s">
        <v>201</v>
      </c>
      <c r="C42" s="21" t="s">
        <v>226</v>
      </c>
      <c r="D42" s="24">
        <v>0</v>
      </c>
      <c r="E42" s="24">
        <v>0.02</v>
      </c>
      <c r="F42" s="21" t="s">
        <v>226</v>
      </c>
      <c r="G42" s="24">
        <v>0</v>
      </c>
      <c r="H42" s="24">
        <v>0</v>
      </c>
      <c r="I42" s="21" t="s">
        <v>226</v>
      </c>
      <c r="J42" s="24">
        <v>0</v>
      </c>
      <c r="K42" s="24">
        <v>15.94</v>
      </c>
      <c r="L42" s="9">
        <f t="shared" si="4"/>
        <v>0</v>
      </c>
      <c r="M42" s="9">
        <f t="shared" si="5"/>
        <v>0</v>
      </c>
      <c r="N42" s="48">
        <f t="shared" si="6"/>
        <v>0.02</v>
      </c>
      <c r="O42" s="48">
        <f t="shared" si="7"/>
        <v>-15.94</v>
      </c>
    </row>
    <row r="43" spans="1:15" ht="45">
      <c r="A43" s="7">
        <v>41</v>
      </c>
      <c r="B43" s="7" t="s">
        <v>203</v>
      </c>
      <c r="C43" s="21" t="s">
        <v>225</v>
      </c>
      <c r="D43" s="24">
        <v>0</v>
      </c>
      <c r="E43" s="24">
        <v>0.05</v>
      </c>
      <c r="F43" s="21" t="s">
        <v>240</v>
      </c>
      <c r="G43" s="24">
        <v>0</v>
      </c>
      <c r="H43" s="24">
        <v>0</v>
      </c>
      <c r="I43" s="21" t="s">
        <v>240</v>
      </c>
      <c r="J43" s="24">
        <v>0</v>
      </c>
      <c r="K43" s="24">
        <v>13.79</v>
      </c>
      <c r="L43" s="9">
        <f t="shared" si="4"/>
        <v>0</v>
      </c>
      <c r="M43" s="9">
        <f t="shared" si="5"/>
        <v>0</v>
      </c>
      <c r="N43" s="48">
        <f t="shared" si="6"/>
        <v>0.05</v>
      </c>
      <c r="O43" s="48">
        <f t="shared" si="7"/>
        <v>-13.79</v>
      </c>
    </row>
    <row r="44" spans="1:15" ht="45">
      <c r="A44" s="7">
        <v>42</v>
      </c>
      <c r="B44" s="7" t="s">
        <v>200</v>
      </c>
      <c r="C44" s="21" t="s">
        <v>223</v>
      </c>
      <c r="D44" s="24">
        <v>0</v>
      </c>
      <c r="E44" s="24">
        <v>0.2</v>
      </c>
      <c r="F44" s="21" t="s">
        <v>238</v>
      </c>
      <c r="G44" s="24">
        <v>0.25</v>
      </c>
      <c r="H44" s="24">
        <v>0</v>
      </c>
      <c r="I44" s="21" t="s">
        <v>238</v>
      </c>
      <c r="J44" s="24">
        <v>0.25</v>
      </c>
      <c r="K44" s="24">
        <v>12.2</v>
      </c>
      <c r="L44" s="9">
        <f t="shared" si="4"/>
        <v>0.25</v>
      </c>
      <c r="M44" s="9">
        <f t="shared" si="5"/>
        <v>0.25</v>
      </c>
      <c r="N44" s="48">
        <f t="shared" si="6"/>
        <v>0.2</v>
      </c>
      <c r="O44" s="48">
        <f t="shared" si="7"/>
        <v>-12.2</v>
      </c>
    </row>
    <row r="45" spans="1:15" ht="45">
      <c r="A45" s="7">
        <v>43</v>
      </c>
      <c r="B45" s="7" t="s">
        <v>184</v>
      </c>
      <c r="C45" s="21" t="s">
        <v>212</v>
      </c>
      <c r="D45" s="24">
        <v>0</v>
      </c>
      <c r="E45" s="24">
        <v>0</v>
      </c>
      <c r="F45" s="21" t="s">
        <v>232</v>
      </c>
      <c r="G45" s="24">
        <v>0.25</v>
      </c>
      <c r="H45" s="24">
        <v>0</v>
      </c>
      <c r="I45" s="21" t="s">
        <v>232</v>
      </c>
      <c r="J45" s="24">
        <v>0.25</v>
      </c>
      <c r="K45" s="24">
        <v>11.7</v>
      </c>
      <c r="L45" s="9">
        <f t="shared" si="4"/>
        <v>0.25</v>
      </c>
      <c r="M45" s="9">
        <f t="shared" si="5"/>
        <v>0.25</v>
      </c>
      <c r="N45" s="48">
        <f t="shared" si="6"/>
        <v>1</v>
      </c>
      <c r="O45" s="48">
        <f t="shared" si="7"/>
        <v>-11.7</v>
      </c>
    </row>
    <row r="46" spans="1:15" ht="45">
      <c r="A46" s="7">
        <v>44</v>
      </c>
      <c r="B46" s="7" t="s">
        <v>185</v>
      </c>
      <c r="C46" s="21" t="s">
        <v>213</v>
      </c>
      <c r="D46" s="24">
        <v>0</v>
      </c>
      <c r="E46" s="24">
        <v>0</v>
      </c>
      <c r="F46" s="21" t="s">
        <v>233</v>
      </c>
      <c r="G46" s="24">
        <v>0.25</v>
      </c>
      <c r="H46" s="24">
        <v>0</v>
      </c>
      <c r="I46" s="21" t="s">
        <v>233</v>
      </c>
      <c r="J46" s="24">
        <v>0.25</v>
      </c>
      <c r="K46" s="24">
        <v>11.94</v>
      </c>
      <c r="L46" s="9">
        <f t="shared" si="4"/>
        <v>0.25</v>
      </c>
      <c r="M46" s="9">
        <f t="shared" si="5"/>
        <v>0.25</v>
      </c>
      <c r="N46" s="48">
        <f t="shared" si="6"/>
        <v>1</v>
      </c>
      <c r="O46" s="48">
        <f t="shared" si="7"/>
        <v>-11.94</v>
      </c>
    </row>
    <row r="47" spans="1:15" ht="45">
      <c r="A47" s="7">
        <v>45</v>
      </c>
      <c r="B47" s="7" t="s">
        <v>187</v>
      </c>
      <c r="C47" s="21" t="s">
        <v>214</v>
      </c>
      <c r="D47" s="24">
        <v>0.25</v>
      </c>
      <c r="E47" s="24">
        <v>0</v>
      </c>
      <c r="F47" s="21" t="s">
        <v>214</v>
      </c>
      <c r="G47" s="24">
        <v>0.25</v>
      </c>
      <c r="H47" s="24">
        <v>0</v>
      </c>
      <c r="I47" s="21" t="s">
        <v>214</v>
      </c>
      <c r="J47" s="24">
        <v>0.25</v>
      </c>
      <c r="K47" s="24">
        <v>11.84</v>
      </c>
      <c r="L47" s="9">
        <f t="shared" si="4"/>
        <v>0</v>
      </c>
      <c r="M47" s="9">
        <f t="shared" si="5"/>
        <v>0</v>
      </c>
      <c r="N47" s="48">
        <f t="shared" si="6"/>
        <v>1</v>
      </c>
      <c r="O47" s="48">
        <f t="shared" si="7"/>
        <v>-11.84</v>
      </c>
    </row>
    <row r="48" spans="1:15" ht="45">
      <c r="A48" s="7">
        <v>46</v>
      </c>
      <c r="B48" s="7" t="s">
        <v>188</v>
      </c>
      <c r="C48" s="21" t="s">
        <v>215</v>
      </c>
      <c r="D48" s="24">
        <v>0</v>
      </c>
      <c r="E48" s="24">
        <v>0.01</v>
      </c>
      <c r="F48" s="21" t="s">
        <v>215</v>
      </c>
      <c r="G48" s="24">
        <v>0</v>
      </c>
      <c r="H48" s="24">
        <v>0</v>
      </c>
      <c r="I48" s="21" t="s">
        <v>215</v>
      </c>
      <c r="J48" s="24">
        <v>0</v>
      </c>
      <c r="K48" s="24">
        <v>12</v>
      </c>
      <c r="L48" s="9">
        <f t="shared" si="4"/>
        <v>0</v>
      </c>
      <c r="M48" s="9">
        <f t="shared" si="5"/>
        <v>0</v>
      </c>
      <c r="N48" s="48">
        <f t="shared" si="6"/>
        <v>0.01</v>
      </c>
      <c r="O48" s="48">
        <f t="shared" si="7"/>
        <v>-12</v>
      </c>
    </row>
    <row r="49" spans="1:15" ht="45">
      <c r="A49" s="7">
        <v>47</v>
      </c>
      <c r="B49" s="7" t="s">
        <v>186</v>
      </c>
      <c r="C49" s="21" t="s">
        <v>216</v>
      </c>
      <c r="D49" s="24">
        <v>0</v>
      </c>
      <c r="E49" s="24">
        <v>0.01</v>
      </c>
      <c r="F49" s="21" t="s">
        <v>234</v>
      </c>
      <c r="G49" s="24">
        <v>0.25</v>
      </c>
      <c r="H49" s="24">
        <v>0</v>
      </c>
      <c r="I49" s="21" t="s">
        <v>234</v>
      </c>
      <c r="J49" s="24">
        <v>0.25</v>
      </c>
      <c r="K49" s="24">
        <v>11.87</v>
      </c>
      <c r="L49" s="9">
        <f t="shared" si="4"/>
        <v>0.25</v>
      </c>
      <c r="M49" s="9">
        <f t="shared" si="5"/>
        <v>0.25</v>
      </c>
      <c r="N49" s="48">
        <f t="shared" si="6"/>
        <v>0.01</v>
      </c>
      <c r="O49" s="48">
        <f t="shared" si="7"/>
        <v>-11.87</v>
      </c>
    </row>
    <row r="50" spans="1:15" ht="45">
      <c r="A50" s="7">
        <v>48</v>
      </c>
      <c r="B50" s="7" t="s">
        <v>188</v>
      </c>
      <c r="C50" s="21" t="s">
        <v>215</v>
      </c>
      <c r="D50" s="24">
        <v>0</v>
      </c>
      <c r="E50" s="24">
        <v>0.05</v>
      </c>
      <c r="F50" s="21" t="s">
        <v>215</v>
      </c>
      <c r="G50" s="24">
        <v>0</v>
      </c>
      <c r="H50" s="24">
        <v>0</v>
      </c>
      <c r="I50" s="21" t="s">
        <v>215</v>
      </c>
      <c r="J50" s="24">
        <v>0</v>
      </c>
      <c r="K50" s="24">
        <v>11.79</v>
      </c>
      <c r="L50" s="9">
        <f t="shared" si="4"/>
        <v>0</v>
      </c>
      <c r="M50" s="9">
        <f t="shared" si="5"/>
        <v>0</v>
      </c>
      <c r="N50" s="48">
        <f t="shared" si="6"/>
        <v>0.05</v>
      </c>
      <c r="O50" s="48">
        <f t="shared" si="7"/>
        <v>-11.79</v>
      </c>
    </row>
    <row r="51" spans="1:15" ht="45">
      <c r="A51" s="7">
        <v>49</v>
      </c>
      <c r="B51" s="7" t="s">
        <v>185</v>
      </c>
      <c r="C51" s="21" t="s">
        <v>213</v>
      </c>
      <c r="D51" s="24">
        <v>0</v>
      </c>
      <c r="E51" s="24">
        <v>0.19</v>
      </c>
      <c r="F51" s="21" t="s">
        <v>233</v>
      </c>
      <c r="G51" s="24">
        <v>0.25</v>
      </c>
      <c r="H51" s="24">
        <v>0</v>
      </c>
      <c r="I51" s="21" t="s">
        <v>233</v>
      </c>
      <c r="J51" s="24">
        <v>0.25</v>
      </c>
      <c r="K51" s="24">
        <v>12.08</v>
      </c>
      <c r="L51" s="9">
        <f t="shared" si="4"/>
        <v>0.25</v>
      </c>
      <c r="M51" s="9">
        <f t="shared" si="5"/>
        <v>0.25</v>
      </c>
      <c r="N51" s="48">
        <f t="shared" si="6"/>
        <v>0.19</v>
      </c>
      <c r="O51" s="48">
        <f t="shared" si="7"/>
        <v>-12.08</v>
      </c>
    </row>
    <row r="52" spans="1:15" ht="18.75">
      <c r="I52" s="94" t="s">
        <v>370</v>
      </c>
      <c r="J52" s="94"/>
      <c r="K52" s="94"/>
      <c r="L52" s="18">
        <f>AVERAGE(L$3:L$51)</f>
        <v>7.6530612244897961E-2</v>
      </c>
      <c r="M52" s="18">
        <f>AVERAGE(M$3:M$51)</f>
        <v>7.6530612244897961E-2</v>
      </c>
      <c r="N52" s="19">
        <f>AVERAGE(N$3:N$51)</f>
        <v>0.48775510204081646</v>
      </c>
      <c r="O52" s="19">
        <f>AVERAGE(O$3:O$51)</f>
        <v>-11.463265306122448</v>
      </c>
    </row>
    <row r="53" spans="1:15" ht="18.75">
      <c r="I53" s="95" t="s">
        <v>371</v>
      </c>
      <c r="J53" s="95"/>
      <c r="K53" s="95"/>
      <c r="L53" s="14">
        <f>MIN(L$3:L$51)</f>
        <v>0</v>
      </c>
      <c r="M53" s="14">
        <f>MIN(M$3:M$51)</f>
        <v>0</v>
      </c>
      <c r="N53" s="15">
        <f>MIN(N$3:N$51)</f>
        <v>0.01</v>
      </c>
      <c r="O53" s="15">
        <f>MIN(O$3:O$51)</f>
        <v>-15.94</v>
      </c>
    </row>
    <row r="54" spans="1:15" ht="18.75">
      <c r="I54" s="96" t="s">
        <v>372</v>
      </c>
      <c r="J54" s="96"/>
      <c r="K54" s="96"/>
      <c r="L54" s="16">
        <f>MAX(L$3:L$51)</f>
        <v>0.25</v>
      </c>
      <c r="M54" s="16">
        <f>MAX(M$3:M$51)</f>
        <v>0.25</v>
      </c>
      <c r="N54" s="17">
        <f>MAX(N$3:N$51)</f>
        <v>1</v>
      </c>
      <c r="O54" s="17">
        <f>MAX(O$3:O$51)</f>
        <v>-10.66</v>
      </c>
    </row>
    <row r="55" spans="1:15" ht="31.5">
      <c r="L55" s="11" t="s">
        <v>211</v>
      </c>
      <c r="M55" s="10" t="s">
        <v>528</v>
      </c>
      <c r="N55" s="23" t="s">
        <v>290</v>
      </c>
      <c r="O55" s="43" t="s">
        <v>529</v>
      </c>
    </row>
  </sheetData>
  <mergeCells count="9">
    <mergeCell ref="A1:A2"/>
    <mergeCell ref="I52:K52"/>
    <mergeCell ref="I53:K53"/>
    <mergeCell ref="L1:O1"/>
    <mergeCell ref="I54:K54"/>
    <mergeCell ref="C1:E1"/>
    <mergeCell ref="F1:H1"/>
    <mergeCell ref="I1:K1"/>
    <mergeCell ref="B1:B2"/>
  </mergeCells>
  <conditionalFormatting sqref="L1:L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6:L1048576 L3:L5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6:M1048576 M3:M51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O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5:O5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6:O1048576 N3:O5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4E5F-8984-4C70-B9B4-5F7060C0DCCF}">
  <dimension ref="A1:V55"/>
  <sheetViews>
    <sheetView zoomScale="85" zoomScaleNormal="85" workbookViewId="0">
      <selection activeCell="Q38" sqref="Q38"/>
    </sheetView>
  </sheetViews>
  <sheetFormatPr baseColWidth="10" defaultRowHeight="15"/>
  <cols>
    <col min="1" max="1" width="8.140625" style="5" customWidth="1"/>
    <col min="2" max="2" width="22.28515625" style="5" bestFit="1" customWidth="1"/>
    <col min="3" max="3" width="18" style="22" bestFit="1" customWidth="1"/>
    <col min="4" max="4" width="8.5703125" style="25" customWidth="1"/>
    <col min="5" max="5" width="8.28515625" style="25" bestFit="1" customWidth="1"/>
    <col min="6" max="6" width="17.28515625" style="22" customWidth="1"/>
    <col min="7" max="7" width="8.5703125" style="25" bestFit="1" customWidth="1"/>
    <col min="8" max="8" width="8.28515625" style="25" bestFit="1" customWidth="1"/>
    <col min="9" max="9" width="18.5703125" style="22" bestFit="1" customWidth="1"/>
    <col min="10" max="10" width="8.5703125" style="25" bestFit="1" customWidth="1"/>
    <col min="11" max="11" width="8.28515625" style="25" bestFit="1" customWidth="1"/>
    <col min="12" max="13" width="10.85546875" style="6" bestFit="1" customWidth="1"/>
    <col min="14" max="14" width="9.7109375" style="49" customWidth="1"/>
    <col min="15" max="15" width="11.42578125" style="49" bestFit="1" customWidth="1"/>
    <col min="16" max="16384" width="11.42578125" style="5"/>
  </cols>
  <sheetData>
    <row r="1" spans="1:15" ht="15.75">
      <c r="A1" s="84" t="s">
        <v>176</v>
      </c>
      <c r="B1" s="84" t="s">
        <v>0</v>
      </c>
      <c r="C1" s="85" t="s">
        <v>177</v>
      </c>
      <c r="D1" s="101"/>
      <c r="E1" s="101"/>
      <c r="F1" s="86" t="s">
        <v>377</v>
      </c>
      <c r="G1" s="102"/>
      <c r="H1" s="102"/>
      <c r="I1" s="87" t="s">
        <v>525</v>
      </c>
      <c r="J1" s="103"/>
      <c r="K1" s="103"/>
      <c r="L1" s="91" t="s">
        <v>210</v>
      </c>
      <c r="M1" s="92"/>
      <c r="N1" s="97"/>
      <c r="O1" s="97"/>
    </row>
    <row r="2" spans="1:15" ht="31.5">
      <c r="A2" s="84"/>
      <c r="B2" s="84"/>
      <c r="C2" s="32" t="s">
        <v>1</v>
      </c>
      <c r="D2" s="23" t="s">
        <v>373</v>
      </c>
      <c r="E2" s="23" t="s">
        <v>375</v>
      </c>
      <c r="F2" s="33" t="s">
        <v>1</v>
      </c>
      <c r="G2" s="42" t="s">
        <v>374</v>
      </c>
      <c r="H2" s="42" t="s">
        <v>376</v>
      </c>
      <c r="I2" s="34" t="s">
        <v>1</v>
      </c>
      <c r="J2" s="43" t="s">
        <v>526</v>
      </c>
      <c r="K2" s="43" t="s">
        <v>527</v>
      </c>
      <c r="L2" s="11" t="s">
        <v>211</v>
      </c>
      <c r="M2" s="10" t="s">
        <v>528</v>
      </c>
      <c r="N2" s="23" t="s">
        <v>290</v>
      </c>
      <c r="O2" s="43" t="s">
        <v>529</v>
      </c>
    </row>
    <row r="3" spans="1:15" ht="41.25" customHeight="1">
      <c r="A3" s="7">
        <v>1</v>
      </c>
      <c r="B3" s="8" t="s">
        <v>241</v>
      </c>
      <c r="C3" s="21" t="s">
        <v>291</v>
      </c>
      <c r="D3" s="24">
        <v>0</v>
      </c>
      <c r="E3" s="24">
        <v>0</v>
      </c>
      <c r="F3" s="21" t="s">
        <v>291</v>
      </c>
      <c r="G3" s="24">
        <v>0</v>
      </c>
      <c r="H3" s="24">
        <v>0.01</v>
      </c>
      <c r="I3" s="21" t="s">
        <v>291</v>
      </c>
      <c r="J3" s="24">
        <v>0</v>
      </c>
      <c r="K3" s="24">
        <v>14.75</v>
      </c>
      <c r="L3" s="9">
        <f t="shared" ref="L3:L34" si="0">ABS(D3-G3)/IF(D3=0,1,D3)</f>
        <v>0</v>
      </c>
      <c r="M3" s="9">
        <f t="shared" ref="M3:M34" si="1">ABS(D3-J3)/IF(D3=0,1,D3)</f>
        <v>0</v>
      </c>
      <c r="N3" s="48">
        <f t="shared" ref="N3:N34" si="2">ROUND(IF(E3&lt;H3, -(H3/IF(E3=0,1,E3)), IF(E3=0,1,E3)/IF(H3=0,1,H3)), 2)</f>
        <v>-0.01</v>
      </c>
      <c r="O3" s="48">
        <f t="shared" ref="O3:O34" si="3">ROUND(IF(H3&lt;K3, -(K3/IF(H3=0,1,H3)), IF(H3=0,1,H3)/IF(K3=0,1,K3)), 2)</f>
        <v>-1475</v>
      </c>
    </row>
    <row r="4" spans="1:15" ht="45">
      <c r="A4" s="7">
        <v>2</v>
      </c>
      <c r="B4" s="8" t="s">
        <v>242</v>
      </c>
      <c r="C4" s="21" t="s">
        <v>292</v>
      </c>
      <c r="D4" s="24">
        <v>0</v>
      </c>
      <c r="E4" s="24">
        <v>0</v>
      </c>
      <c r="F4" s="21" t="s">
        <v>292</v>
      </c>
      <c r="G4" s="24">
        <v>0</v>
      </c>
      <c r="H4" s="24">
        <v>0</v>
      </c>
      <c r="I4" s="21" t="s">
        <v>292</v>
      </c>
      <c r="J4" s="24">
        <v>0</v>
      </c>
      <c r="K4" s="24">
        <v>13.26</v>
      </c>
      <c r="L4" s="9">
        <f t="shared" si="0"/>
        <v>0</v>
      </c>
      <c r="M4" s="9">
        <f t="shared" si="1"/>
        <v>0</v>
      </c>
      <c r="N4" s="48">
        <f t="shared" si="2"/>
        <v>1</v>
      </c>
      <c r="O4" s="48">
        <f t="shared" si="3"/>
        <v>-13.26</v>
      </c>
    </row>
    <row r="5" spans="1:15" ht="35.25" customHeight="1">
      <c r="A5" s="7">
        <v>3</v>
      </c>
      <c r="B5" s="8" t="s">
        <v>243</v>
      </c>
      <c r="C5" s="21" t="s">
        <v>293</v>
      </c>
      <c r="D5" s="24">
        <v>0</v>
      </c>
      <c r="E5" s="24">
        <v>0</v>
      </c>
      <c r="F5" s="21" t="s">
        <v>340</v>
      </c>
      <c r="G5" s="24">
        <v>0</v>
      </c>
      <c r="H5" s="24">
        <v>0</v>
      </c>
      <c r="I5" s="21" t="s">
        <v>340</v>
      </c>
      <c r="J5" s="24">
        <v>0</v>
      </c>
      <c r="K5" s="24">
        <v>12.15</v>
      </c>
      <c r="L5" s="9">
        <f t="shared" si="0"/>
        <v>0</v>
      </c>
      <c r="M5" s="9">
        <f t="shared" si="1"/>
        <v>0</v>
      </c>
      <c r="N5" s="48">
        <f t="shared" si="2"/>
        <v>1</v>
      </c>
      <c r="O5" s="48">
        <f t="shared" si="3"/>
        <v>-12.15</v>
      </c>
    </row>
    <row r="6" spans="1:15" ht="45">
      <c r="A6" s="7">
        <v>4</v>
      </c>
      <c r="B6" s="8" t="s">
        <v>244</v>
      </c>
      <c r="C6" s="21" t="s">
        <v>294</v>
      </c>
      <c r="D6" s="24">
        <v>0</v>
      </c>
      <c r="E6" s="24">
        <v>0.01</v>
      </c>
      <c r="F6" s="21" t="s">
        <v>341</v>
      </c>
      <c r="G6" s="24">
        <v>0</v>
      </c>
      <c r="H6" s="24">
        <v>0</v>
      </c>
      <c r="I6" s="21" t="s">
        <v>341</v>
      </c>
      <c r="J6" s="24">
        <v>0</v>
      </c>
      <c r="K6" s="24">
        <v>12.41</v>
      </c>
      <c r="L6" s="9">
        <f t="shared" si="0"/>
        <v>0</v>
      </c>
      <c r="M6" s="9">
        <f t="shared" si="1"/>
        <v>0</v>
      </c>
      <c r="N6" s="48">
        <f t="shared" si="2"/>
        <v>0.01</v>
      </c>
      <c r="O6" s="48">
        <f t="shared" si="3"/>
        <v>-12.41</v>
      </c>
    </row>
    <row r="7" spans="1:15" ht="60">
      <c r="A7" s="7">
        <v>5</v>
      </c>
      <c r="B7" s="8" t="s">
        <v>245</v>
      </c>
      <c r="C7" s="21" t="s">
        <v>295</v>
      </c>
      <c r="D7" s="24">
        <v>0</v>
      </c>
      <c r="E7" s="24">
        <v>0.02</v>
      </c>
      <c r="F7" s="21" t="s">
        <v>342</v>
      </c>
      <c r="G7" s="24">
        <v>0</v>
      </c>
      <c r="H7" s="24">
        <v>0</v>
      </c>
      <c r="I7" s="21" t="s">
        <v>342</v>
      </c>
      <c r="J7" s="24">
        <v>0</v>
      </c>
      <c r="K7" s="24">
        <v>12.68</v>
      </c>
      <c r="L7" s="9">
        <f t="shared" si="0"/>
        <v>0</v>
      </c>
      <c r="M7" s="9">
        <f t="shared" si="1"/>
        <v>0</v>
      </c>
      <c r="N7" s="48">
        <f t="shared" si="2"/>
        <v>0.02</v>
      </c>
      <c r="O7" s="48">
        <f t="shared" si="3"/>
        <v>-12.68</v>
      </c>
    </row>
    <row r="8" spans="1:15" ht="45">
      <c r="A8" s="7">
        <v>6</v>
      </c>
      <c r="B8" s="8" t="s">
        <v>246</v>
      </c>
      <c r="C8" s="21" t="s">
        <v>296</v>
      </c>
      <c r="D8" s="24">
        <v>0</v>
      </c>
      <c r="E8" s="24">
        <v>0.06</v>
      </c>
      <c r="F8" s="21" t="s">
        <v>343</v>
      </c>
      <c r="G8" s="24">
        <v>0</v>
      </c>
      <c r="H8" s="24">
        <v>0</v>
      </c>
      <c r="I8" s="21" t="s">
        <v>343</v>
      </c>
      <c r="J8" s="24">
        <v>0</v>
      </c>
      <c r="K8" s="24">
        <v>13.22</v>
      </c>
      <c r="L8" s="9">
        <f t="shared" si="0"/>
        <v>0</v>
      </c>
      <c r="M8" s="9">
        <f t="shared" si="1"/>
        <v>0</v>
      </c>
      <c r="N8" s="48">
        <f t="shared" si="2"/>
        <v>0.06</v>
      </c>
      <c r="O8" s="48">
        <f t="shared" si="3"/>
        <v>-13.22</v>
      </c>
    </row>
    <row r="9" spans="1:15" ht="45">
      <c r="A9" s="7">
        <v>7</v>
      </c>
      <c r="B9" s="8" t="s">
        <v>247</v>
      </c>
      <c r="C9" s="21" t="s">
        <v>297</v>
      </c>
      <c r="D9" s="24">
        <v>0</v>
      </c>
      <c r="E9" s="24">
        <v>0.27</v>
      </c>
      <c r="F9" s="21" t="s">
        <v>297</v>
      </c>
      <c r="G9" s="24">
        <v>0</v>
      </c>
      <c r="H9" s="24">
        <v>0</v>
      </c>
      <c r="I9" s="21" t="s">
        <v>297</v>
      </c>
      <c r="J9" s="24">
        <v>0</v>
      </c>
      <c r="K9" s="24">
        <v>12.73</v>
      </c>
      <c r="L9" s="9">
        <f t="shared" si="0"/>
        <v>0</v>
      </c>
      <c r="M9" s="9">
        <f t="shared" si="1"/>
        <v>0</v>
      </c>
      <c r="N9" s="48">
        <f t="shared" si="2"/>
        <v>0.27</v>
      </c>
      <c r="O9" s="48">
        <f t="shared" si="3"/>
        <v>-12.73</v>
      </c>
    </row>
    <row r="10" spans="1:15" ht="39.75" customHeight="1">
      <c r="A10" s="7">
        <v>8</v>
      </c>
      <c r="B10" s="8" t="s">
        <v>248</v>
      </c>
      <c r="C10" s="21" t="s">
        <v>298</v>
      </c>
      <c r="D10" s="24">
        <v>0</v>
      </c>
      <c r="E10" s="24">
        <v>0.01</v>
      </c>
      <c r="F10" s="21" t="s">
        <v>298</v>
      </c>
      <c r="G10" s="24">
        <v>0</v>
      </c>
      <c r="H10" s="24">
        <v>0</v>
      </c>
      <c r="I10" s="21" t="s">
        <v>298</v>
      </c>
      <c r="J10" s="24">
        <v>0</v>
      </c>
      <c r="K10" s="24">
        <v>13.64</v>
      </c>
      <c r="L10" s="9">
        <f t="shared" si="0"/>
        <v>0</v>
      </c>
      <c r="M10" s="9">
        <f t="shared" si="1"/>
        <v>0</v>
      </c>
      <c r="N10" s="48">
        <f t="shared" si="2"/>
        <v>0.01</v>
      </c>
      <c r="O10" s="48">
        <f t="shared" si="3"/>
        <v>-13.64</v>
      </c>
    </row>
    <row r="11" spans="1:15" ht="45">
      <c r="A11" s="7">
        <v>9</v>
      </c>
      <c r="B11" s="8" t="s">
        <v>249</v>
      </c>
      <c r="C11" s="21" t="s">
        <v>299</v>
      </c>
      <c r="D11" s="24">
        <v>0</v>
      </c>
      <c r="E11" s="24">
        <v>0</v>
      </c>
      <c r="F11" s="21" t="s">
        <v>299</v>
      </c>
      <c r="G11" s="24">
        <v>0</v>
      </c>
      <c r="H11" s="24">
        <v>0</v>
      </c>
      <c r="I11" s="21" t="s">
        <v>299</v>
      </c>
      <c r="J11" s="24">
        <v>0</v>
      </c>
      <c r="K11" s="24">
        <v>12.99</v>
      </c>
      <c r="L11" s="9">
        <f t="shared" si="0"/>
        <v>0</v>
      </c>
      <c r="M11" s="9">
        <f t="shared" si="1"/>
        <v>0</v>
      </c>
      <c r="N11" s="48">
        <f t="shared" si="2"/>
        <v>1</v>
      </c>
      <c r="O11" s="48">
        <f t="shared" si="3"/>
        <v>-12.99</v>
      </c>
    </row>
    <row r="12" spans="1:15" ht="45">
      <c r="A12" s="7">
        <v>10</v>
      </c>
      <c r="B12" s="8" t="s">
        <v>250</v>
      </c>
      <c r="C12" s="21" t="s">
        <v>300</v>
      </c>
      <c r="D12" s="24">
        <v>0</v>
      </c>
      <c r="E12" s="24">
        <v>0</v>
      </c>
      <c r="F12" s="21" t="s">
        <v>344</v>
      </c>
      <c r="G12" s="24">
        <v>0</v>
      </c>
      <c r="H12" s="24">
        <v>0</v>
      </c>
      <c r="I12" s="21" t="s">
        <v>344</v>
      </c>
      <c r="J12" s="24">
        <v>0</v>
      </c>
      <c r="K12" s="24">
        <v>12.75</v>
      </c>
      <c r="L12" s="9">
        <f t="shared" si="0"/>
        <v>0</v>
      </c>
      <c r="M12" s="9">
        <f t="shared" si="1"/>
        <v>0</v>
      </c>
      <c r="N12" s="48">
        <f t="shared" si="2"/>
        <v>1</v>
      </c>
      <c r="O12" s="48">
        <f t="shared" si="3"/>
        <v>-12.75</v>
      </c>
    </row>
    <row r="13" spans="1:15" ht="45">
      <c r="A13" s="7">
        <v>11</v>
      </c>
      <c r="B13" s="8" t="s">
        <v>251</v>
      </c>
      <c r="C13" s="21" t="s">
        <v>301</v>
      </c>
      <c r="D13" s="24">
        <v>0</v>
      </c>
      <c r="E13" s="24">
        <v>0.01</v>
      </c>
      <c r="F13" s="21" t="s">
        <v>345</v>
      </c>
      <c r="G13" s="24">
        <v>0</v>
      </c>
      <c r="H13" s="24">
        <v>0</v>
      </c>
      <c r="I13" s="21" t="s">
        <v>345</v>
      </c>
      <c r="J13" s="24">
        <v>0</v>
      </c>
      <c r="K13" s="24">
        <v>13.08</v>
      </c>
      <c r="L13" s="9">
        <f t="shared" si="0"/>
        <v>0</v>
      </c>
      <c r="M13" s="9">
        <f t="shared" si="1"/>
        <v>0</v>
      </c>
      <c r="N13" s="48">
        <f t="shared" si="2"/>
        <v>0.01</v>
      </c>
      <c r="O13" s="48">
        <f t="shared" si="3"/>
        <v>-13.08</v>
      </c>
    </row>
    <row r="14" spans="1:15" ht="45">
      <c r="A14" s="7">
        <v>12</v>
      </c>
      <c r="B14" s="8" t="s">
        <v>252</v>
      </c>
      <c r="C14" s="21" t="s">
        <v>302</v>
      </c>
      <c r="D14" s="24">
        <v>0</v>
      </c>
      <c r="E14" s="24">
        <v>0.02</v>
      </c>
      <c r="F14" s="21" t="s">
        <v>346</v>
      </c>
      <c r="G14" s="24">
        <v>0</v>
      </c>
      <c r="H14" s="24">
        <v>0</v>
      </c>
      <c r="I14" s="21" t="s">
        <v>346</v>
      </c>
      <c r="J14" s="24">
        <v>0</v>
      </c>
      <c r="K14" s="24">
        <v>12.94</v>
      </c>
      <c r="L14" s="9">
        <f t="shared" si="0"/>
        <v>0</v>
      </c>
      <c r="M14" s="9">
        <f t="shared" si="1"/>
        <v>0</v>
      </c>
      <c r="N14" s="48">
        <f t="shared" si="2"/>
        <v>0.02</v>
      </c>
      <c r="O14" s="48">
        <f t="shared" si="3"/>
        <v>-12.94</v>
      </c>
    </row>
    <row r="15" spans="1:15" ht="45">
      <c r="A15" s="7">
        <v>13</v>
      </c>
      <c r="B15" s="8" t="s">
        <v>253</v>
      </c>
      <c r="C15" s="21" t="s">
        <v>303</v>
      </c>
      <c r="D15" s="24">
        <v>0</v>
      </c>
      <c r="E15" s="24">
        <v>7.0000000000000007E-2</v>
      </c>
      <c r="F15" s="21" t="s">
        <v>347</v>
      </c>
      <c r="G15" s="24">
        <v>0</v>
      </c>
      <c r="H15" s="24">
        <v>0</v>
      </c>
      <c r="I15" s="21" t="s">
        <v>347</v>
      </c>
      <c r="J15" s="24">
        <v>0</v>
      </c>
      <c r="K15" s="24">
        <v>12.05</v>
      </c>
      <c r="L15" s="9">
        <f t="shared" si="0"/>
        <v>0</v>
      </c>
      <c r="M15" s="9">
        <f t="shared" si="1"/>
        <v>0</v>
      </c>
      <c r="N15" s="48">
        <f t="shared" si="2"/>
        <v>7.0000000000000007E-2</v>
      </c>
      <c r="O15" s="48">
        <f t="shared" si="3"/>
        <v>-12.05</v>
      </c>
    </row>
    <row r="16" spans="1:15" ht="45">
      <c r="A16" s="7">
        <v>14</v>
      </c>
      <c r="B16" s="8" t="s">
        <v>254</v>
      </c>
      <c r="C16" s="21" t="s">
        <v>304</v>
      </c>
      <c r="D16" s="24">
        <v>0</v>
      </c>
      <c r="E16" s="24">
        <v>0.21</v>
      </c>
      <c r="F16" s="21" t="s">
        <v>304</v>
      </c>
      <c r="G16" s="24">
        <v>0</v>
      </c>
      <c r="H16" s="24">
        <v>0</v>
      </c>
      <c r="I16" s="21" t="s">
        <v>304</v>
      </c>
      <c r="J16" s="24">
        <v>0</v>
      </c>
      <c r="K16" s="24">
        <v>12.59</v>
      </c>
      <c r="L16" s="9">
        <f t="shared" si="0"/>
        <v>0</v>
      </c>
      <c r="M16" s="9">
        <f t="shared" si="1"/>
        <v>0</v>
      </c>
      <c r="N16" s="48">
        <f t="shared" si="2"/>
        <v>0.21</v>
      </c>
      <c r="O16" s="48">
        <f t="shared" si="3"/>
        <v>-12.59</v>
      </c>
    </row>
    <row r="17" spans="1:15" ht="45">
      <c r="A17" s="7">
        <v>15</v>
      </c>
      <c r="B17" s="8" t="s">
        <v>255</v>
      </c>
      <c r="C17" s="21" t="s">
        <v>305</v>
      </c>
      <c r="D17" s="24">
        <v>0</v>
      </c>
      <c r="E17" s="24">
        <v>0</v>
      </c>
      <c r="F17" s="21" t="s">
        <v>348</v>
      </c>
      <c r="G17" s="24">
        <v>0</v>
      </c>
      <c r="H17" s="24">
        <v>0.01</v>
      </c>
      <c r="I17" s="21" t="s">
        <v>348</v>
      </c>
      <c r="J17" s="24">
        <v>0</v>
      </c>
      <c r="K17" s="24">
        <v>12.66</v>
      </c>
      <c r="L17" s="9">
        <f t="shared" si="0"/>
        <v>0</v>
      </c>
      <c r="M17" s="9">
        <f t="shared" si="1"/>
        <v>0</v>
      </c>
      <c r="N17" s="48">
        <f t="shared" si="2"/>
        <v>-0.01</v>
      </c>
      <c r="O17" s="48">
        <f t="shared" si="3"/>
        <v>-1266</v>
      </c>
    </row>
    <row r="18" spans="1:15" ht="45">
      <c r="A18" s="7">
        <v>16</v>
      </c>
      <c r="B18" s="8" t="s">
        <v>256</v>
      </c>
      <c r="C18" s="21" t="s">
        <v>306</v>
      </c>
      <c r="D18" s="24">
        <v>0</v>
      </c>
      <c r="E18" s="24">
        <v>0</v>
      </c>
      <c r="F18" s="21" t="s">
        <v>306</v>
      </c>
      <c r="G18" s="24">
        <v>0</v>
      </c>
      <c r="H18" s="24">
        <v>0</v>
      </c>
      <c r="I18" s="21" t="s">
        <v>306</v>
      </c>
      <c r="J18" s="24">
        <v>0</v>
      </c>
      <c r="K18" s="24">
        <v>12.6</v>
      </c>
      <c r="L18" s="9">
        <f t="shared" si="0"/>
        <v>0</v>
      </c>
      <c r="M18" s="9">
        <f t="shared" si="1"/>
        <v>0</v>
      </c>
      <c r="N18" s="48">
        <f t="shared" si="2"/>
        <v>1</v>
      </c>
      <c r="O18" s="48">
        <f t="shared" si="3"/>
        <v>-12.6</v>
      </c>
    </row>
    <row r="19" spans="1:15" ht="45">
      <c r="A19" s="7">
        <v>17</v>
      </c>
      <c r="B19" s="8" t="s">
        <v>257</v>
      </c>
      <c r="C19" s="21" t="s">
        <v>307</v>
      </c>
      <c r="D19" s="24">
        <v>0</v>
      </c>
      <c r="E19" s="24">
        <v>0</v>
      </c>
      <c r="F19" s="21" t="s">
        <v>349</v>
      </c>
      <c r="G19" s="24">
        <v>0</v>
      </c>
      <c r="H19" s="24">
        <v>0</v>
      </c>
      <c r="I19" s="21" t="s">
        <v>349</v>
      </c>
      <c r="J19" s="24">
        <v>0</v>
      </c>
      <c r="K19" s="24">
        <v>12.39</v>
      </c>
      <c r="L19" s="9">
        <f t="shared" si="0"/>
        <v>0</v>
      </c>
      <c r="M19" s="9">
        <f t="shared" si="1"/>
        <v>0</v>
      </c>
      <c r="N19" s="48">
        <f t="shared" si="2"/>
        <v>1</v>
      </c>
      <c r="O19" s="48">
        <f t="shared" si="3"/>
        <v>-12.39</v>
      </c>
    </row>
    <row r="20" spans="1:15" ht="45">
      <c r="A20" s="7">
        <v>18</v>
      </c>
      <c r="B20" s="8" t="s">
        <v>258</v>
      </c>
      <c r="C20" s="21" t="s">
        <v>308</v>
      </c>
      <c r="D20" s="24">
        <v>0</v>
      </c>
      <c r="E20" s="24">
        <v>0</v>
      </c>
      <c r="F20" s="21" t="s">
        <v>350</v>
      </c>
      <c r="G20" s="24">
        <v>0</v>
      </c>
      <c r="H20" s="24">
        <v>0</v>
      </c>
      <c r="I20" s="21" t="s">
        <v>350</v>
      </c>
      <c r="J20" s="24">
        <v>0</v>
      </c>
      <c r="K20" s="24">
        <v>12.04</v>
      </c>
      <c r="L20" s="9">
        <f t="shared" si="0"/>
        <v>0</v>
      </c>
      <c r="M20" s="9">
        <f t="shared" si="1"/>
        <v>0</v>
      </c>
      <c r="N20" s="48">
        <f t="shared" si="2"/>
        <v>1</v>
      </c>
      <c r="O20" s="48">
        <f t="shared" si="3"/>
        <v>-12.04</v>
      </c>
    </row>
    <row r="21" spans="1:15" ht="45">
      <c r="A21" s="7">
        <v>19</v>
      </c>
      <c r="B21" s="8" t="s">
        <v>259</v>
      </c>
      <c r="C21" s="21" t="s">
        <v>309</v>
      </c>
      <c r="D21" s="24">
        <v>0</v>
      </c>
      <c r="E21" s="24">
        <v>0.02</v>
      </c>
      <c r="F21" s="21" t="s">
        <v>351</v>
      </c>
      <c r="G21" s="24">
        <v>0</v>
      </c>
      <c r="H21" s="24">
        <v>0</v>
      </c>
      <c r="I21" s="21" t="s">
        <v>351</v>
      </c>
      <c r="J21" s="24">
        <v>0</v>
      </c>
      <c r="K21" s="24">
        <v>12.57</v>
      </c>
      <c r="L21" s="9">
        <f t="shared" si="0"/>
        <v>0</v>
      </c>
      <c r="M21" s="9">
        <f t="shared" si="1"/>
        <v>0</v>
      </c>
      <c r="N21" s="48">
        <f t="shared" si="2"/>
        <v>0.02</v>
      </c>
      <c r="O21" s="48">
        <f t="shared" si="3"/>
        <v>-12.57</v>
      </c>
    </row>
    <row r="22" spans="1:15" ht="45">
      <c r="A22" s="7">
        <v>20</v>
      </c>
      <c r="B22" s="8" t="s">
        <v>260</v>
      </c>
      <c r="C22" s="21" t="s">
        <v>310</v>
      </c>
      <c r="D22" s="24">
        <v>0</v>
      </c>
      <c r="E22" s="24">
        <v>7.0000000000000007E-2</v>
      </c>
      <c r="F22" s="21" t="s">
        <v>352</v>
      </c>
      <c r="G22" s="24">
        <v>0</v>
      </c>
      <c r="H22" s="24">
        <v>0</v>
      </c>
      <c r="I22" s="21" t="s">
        <v>352</v>
      </c>
      <c r="J22" s="24">
        <v>0</v>
      </c>
      <c r="K22" s="24">
        <v>12.71</v>
      </c>
      <c r="L22" s="9">
        <f t="shared" si="0"/>
        <v>0</v>
      </c>
      <c r="M22" s="9">
        <f t="shared" si="1"/>
        <v>0</v>
      </c>
      <c r="N22" s="48">
        <f t="shared" si="2"/>
        <v>7.0000000000000007E-2</v>
      </c>
      <c r="O22" s="48">
        <f t="shared" si="3"/>
        <v>-12.71</v>
      </c>
    </row>
    <row r="23" spans="1:15" ht="45">
      <c r="A23" s="7">
        <v>21</v>
      </c>
      <c r="B23" s="8" t="s">
        <v>261</v>
      </c>
      <c r="C23" s="21" t="s">
        <v>311</v>
      </c>
      <c r="D23" s="24">
        <v>0</v>
      </c>
      <c r="E23" s="24">
        <v>0.26</v>
      </c>
      <c r="F23" s="21" t="s">
        <v>311</v>
      </c>
      <c r="G23" s="24">
        <v>0</v>
      </c>
      <c r="H23" s="24">
        <v>0</v>
      </c>
      <c r="I23" s="21" t="s">
        <v>311</v>
      </c>
      <c r="J23" s="24">
        <v>0</v>
      </c>
      <c r="K23" s="24">
        <v>12.9</v>
      </c>
      <c r="L23" s="9">
        <f t="shared" si="0"/>
        <v>0</v>
      </c>
      <c r="M23" s="9">
        <f t="shared" si="1"/>
        <v>0</v>
      </c>
      <c r="N23" s="48">
        <f t="shared" si="2"/>
        <v>0.26</v>
      </c>
      <c r="O23" s="48">
        <f t="shared" si="3"/>
        <v>-12.9</v>
      </c>
    </row>
    <row r="24" spans="1:15" ht="45">
      <c r="A24" s="7">
        <v>22</v>
      </c>
      <c r="B24" s="8" t="s">
        <v>262</v>
      </c>
      <c r="C24" s="21" t="s">
        <v>312</v>
      </c>
      <c r="D24" s="24">
        <v>0</v>
      </c>
      <c r="E24" s="24">
        <v>0</v>
      </c>
      <c r="F24" s="21" t="s">
        <v>353</v>
      </c>
      <c r="G24" s="24">
        <v>0</v>
      </c>
      <c r="H24" s="24">
        <v>0.01</v>
      </c>
      <c r="I24" s="21" t="s">
        <v>353</v>
      </c>
      <c r="J24" s="24">
        <v>0</v>
      </c>
      <c r="K24" s="24">
        <v>12.66</v>
      </c>
      <c r="L24" s="9">
        <f t="shared" si="0"/>
        <v>0</v>
      </c>
      <c r="M24" s="9">
        <f t="shared" si="1"/>
        <v>0</v>
      </c>
      <c r="N24" s="48">
        <f t="shared" si="2"/>
        <v>-0.01</v>
      </c>
      <c r="O24" s="48">
        <f t="shared" si="3"/>
        <v>-1266</v>
      </c>
    </row>
    <row r="25" spans="1:15" ht="45">
      <c r="A25" s="7">
        <v>23</v>
      </c>
      <c r="B25" s="8" t="s">
        <v>263</v>
      </c>
      <c r="C25" s="21" t="s">
        <v>313</v>
      </c>
      <c r="D25" s="24">
        <v>0</v>
      </c>
      <c r="E25" s="24">
        <v>0</v>
      </c>
      <c r="F25" s="21" t="s">
        <v>313</v>
      </c>
      <c r="G25" s="24">
        <v>0</v>
      </c>
      <c r="H25" s="24">
        <v>0</v>
      </c>
      <c r="I25" s="21" t="s">
        <v>313</v>
      </c>
      <c r="J25" s="24">
        <v>0</v>
      </c>
      <c r="K25" s="24">
        <v>11.74</v>
      </c>
      <c r="L25" s="9">
        <f t="shared" si="0"/>
        <v>0</v>
      </c>
      <c r="M25" s="9">
        <f t="shared" si="1"/>
        <v>0</v>
      </c>
      <c r="N25" s="48">
        <f t="shared" si="2"/>
        <v>1</v>
      </c>
      <c r="O25" s="48">
        <f t="shared" si="3"/>
        <v>-11.74</v>
      </c>
    </row>
    <row r="26" spans="1:15" ht="45">
      <c r="A26" s="7">
        <v>24</v>
      </c>
      <c r="B26" s="8" t="s">
        <v>264</v>
      </c>
      <c r="C26" s="21" t="s">
        <v>314</v>
      </c>
      <c r="D26" s="24">
        <v>0</v>
      </c>
      <c r="E26" s="24">
        <v>0</v>
      </c>
      <c r="F26" s="21" t="s">
        <v>354</v>
      </c>
      <c r="G26" s="24">
        <v>0</v>
      </c>
      <c r="H26" s="24">
        <v>0</v>
      </c>
      <c r="I26" s="21" t="s">
        <v>354</v>
      </c>
      <c r="J26" s="24">
        <v>0</v>
      </c>
      <c r="K26" s="24">
        <v>11.71</v>
      </c>
      <c r="L26" s="9">
        <f t="shared" si="0"/>
        <v>0</v>
      </c>
      <c r="M26" s="9">
        <f t="shared" si="1"/>
        <v>0</v>
      </c>
      <c r="N26" s="48">
        <f t="shared" si="2"/>
        <v>1</v>
      </c>
      <c r="O26" s="48">
        <f t="shared" si="3"/>
        <v>-11.71</v>
      </c>
    </row>
    <row r="27" spans="1:15" ht="45">
      <c r="A27" s="7">
        <v>25</v>
      </c>
      <c r="B27" s="8" t="s">
        <v>265</v>
      </c>
      <c r="C27" s="21" t="s">
        <v>315</v>
      </c>
      <c r="D27" s="24">
        <v>0</v>
      </c>
      <c r="E27" s="24">
        <v>0.01</v>
      </c>
      <c r="F27" s="21" t="s">
        <v>355</v>
      </c>
      <c r="G27" s="24">
        <v>0</v>
      </c>
      <c r="H27" s="24">
        <v>0</v>
      </c>
      <c r="I27" s="21" t="s">
        <v>355</v>
      </c>
      <c r="J27" s="24">
        <v>0</v>
      </c>
      <c r="K27" s="24">
        <v>13</v>
      </c>
      <c r="L27" s="9">
        <f t="shared" si="0"/>
        <v>0</v>
      </c>
      <c r="M27" s="9">
        <f t="shared" si="1"/>
        <v>0</v>
      </c>
      <c r="N27" s="48">
        <f t="shared" si="2"/>
        <v>0.01</v>
      </c>
      <c r="O27" s="48">
        <f t="shared" si="3"/>
        <v>-13</v>
      </c>
    </row>
    <row r="28" spans="1:15" ht="45">
      <c r="A28" s="7">
        <v>26</v>
      </c>
      <c r="B28" s="8" t="s">
        <v>266</v>
      </c>
      <c r="C28" s="21" t="s">
        <v>316</v>
      </c>
      <c r="D28" s="24">
        <v>0</v>
      </c>
      <c r="E28" s="24">
        <v>0.02</v>
      </c>
      <c r="F28" s="21" t="s">
        <v>356</v>
      </c>
      <c r="G28" s="24">
        <v>0</v>
      </c>
      <c r="H28" s="24">
        <v>0</v>
      </c>
      <c r="I28" s="21" t="s">
        <v>356</v>
      </c>
      <c r="J28" s="24">
        <v>0</v>
      </c>
      <c r="K28" s="24">
        <v>12.69</v>
      </c>
      <c r="L28" s="9">
        <f t="shared" si="0"/>
        <v>0</v>
      </c>
      <c r="M28" s="9">
        <f t="shared" si="1"/>
        <v>0</v>
      </c>
      <c r="N28" s="48">
        <f t="shared" si="2"/>
        <v>0.02</v>
      </c>
      <c r="O28" s="48">
        <f t="shared" si="3"/>
        <v>-12.69</v>
      </c>
    </row>
    <row r="29" spans="1:15" ht="45">
      <c r="A29" s="7">
        <v>27</v>
      </c>
      <c r="B29" s="8" t="s">
        <v>267</v>
      </c>
      <c r="C29" s="21" t="s">
        <v>317</v>
      </c>
      <c r="D29" s="24">
        <v>0</v>
      </c>
      <c r="E29" s="24">
        <v>0.05</v>
      </c>
      <c r="F29" s="21" t="s">
        <v>357</v>
      </c>
      <c r="G29" s="24">
        <v>0</v>
      </c>
      <c r="H29" s="24">
        <v>0</v>
      </c>
      <c r="I29" s="21" t="s">
        <v>357</v>
      </c>
      <c r="J29" s="24">
        <v>0</v>
      </c>
      <c r="K29" s="24">
        <v>9.4700000000000006</v>
      </c>
      <c r="L29" s="9">
        <f t="shared" si="0"/>
        <v>0</v>
      </c>
      <c r="M29" s="9">
        <f t="shared" si="1"/>
        <v>0</v>
      </c>
      <c r="N29" s="48">
        <f t="shared" si="2"/>
        <v>0.05</v>
      </c>
      <c r="O29" s="48">
        <f t="shared" si="3"/>
        <v>-9.4700000000000006</v>
      </c>
    </row>
    <row r="30" spans="1:15" ht="45">
      <c r="A30" s="7">
        <v>28</v>
      </c>
      <c r="B30" s="8" t="s">
        <v>268</v>
      </c>
      <c r="C30" s="21" t="s">
        <v>318</v>
      </c>
      <c r="D30" s="24">
        <v>0</v>
      </c>
      <c r="E30" s="24">
        <v>0.2</v>
      </c>
      <c r="F30" s="21" t="s">
        <v>318</v>
      </c>
      <c r="G30" s="24">
        <v>0</v>
      </c>
      <c r="H30" s="24">
        <v>0</v>
      </c>
      <c r="I30" s="21" t="s">
        <v>318</v>
      </c>
      <c r="J30" s="24">
        <v>0</v>
      </c>
      <c r="K30" s="24">
        <v>12.22</v>
      </c>
      <c r="L30" s="9">
        <f t="shared" si="0"/>
        <v>0</v>
      </c>
      <c r="M30" s="9">
        <f t="shared" si="1"/>
        <v>0</v>
      </c>
      <c r="N30" s="48">
        <f t="shared" si="2"/>
        <v>0.2</v>
      </c>
      <c r="O30" s="48">
        <f t="shared" si="3"/>
        <v>-12.22</v>
      </c>
    </row>
    <row r="31" spans="1:15" ht="45">
      <c r="A31" s="7">
        <v>29</v>
      </c>
      <c r="B31" s="7" t="s">
        <v>269</v>
      </c>
      <c r="C31" s="21" t="s">
        <v>319</v>
      </c>
      <c r="D31" s="24">
        <v>0</v>
      </c>
      <c r="E31" s="24">
        <v>0.02</v>
      </c>
      <c r="F31" s="21" t="s">
        <v>358</v>
      </c>
      <c r="G31" s="24">
        <v>0.5</v>
      </c>
      <c r="H31" s="24">
        <v>0</v>
      </c>
      <c r="I31" s="21" t="s">
        <v>358</v>
      </c>
      <c r="J31" s="24">
        <v>0.5</v>
      </c>
      <c r="K31" s="24">
        <v>12.13</v>
      </c>
      <c r="L31" s="9">
        <f t="shared" si="0"/>
        <v>0.5</v>
      </c>
      <c r="M31" s="9">
        <f t="shared" si="1"/>
        <v>0.5</v>
      </c>
      <c r="N31" s="48">
        <f t="shared" si="2"/>
        <v>0.02</v>
      </c>
      <c r="O31" s="48">
        <f t="shared" si="3"/>
        <v>-12.13</v>
      </c>
    </row>
    <row r="32" spans="1:15" ht="45">
      <c r="A32" s="7">
        <v>30</v>
      </c>
      <c r="B32" s="7" t="s">
        <v>270</v>
      </c>
      <c r="C32" s="21" t="s">
        <v>320</v>
      </c>
      <c r="D32" s="24">
        <v>0.5</v>
      </c>
      <c r="E32" s="24">
        <v>0.01</v>
      </c>
      <c r="F32" s="21" t="s">
        <v>320</v>
      </c>
      <c r="G32" s="24">
        <v>0.5</v>
      </c>
      <c r="H32" s="24">
        <v>0</v>
      </c>
      <c r="I32" s="21" t="s">
        <v>320</v>
      </c>
      <c r="J32" s="24">
        <v>0.5</v>
      </c>
      <c r="K32" s="24">
        <v>11.89</v>
      </c>
      <c r="L32" s="9">
        <f t="shared" si="0"/>
        <v>0</v>
      </c>
      <c r="M32" s="9">
        <f t="shared" si="1"/>
        <v>0</v>
      </c>
      <c r="N32" s="48">
        <f t="shared" si="2"/>
        <v>0.01</v>
      </c>
      <c r="O32" s="48">
        <f t="shared" si="3"/>
        <v>-11.89</v>
      </c>
    </row>
    <row r="33" spans="1:22" ht="45">
      <c r="A33" s="7">
        <v>31</v>
      </c>
      <c r="B33" s="7" t="s">
        <v>271</v>
      </c>
      <c r="C33" s="21" t="s">
        <v>321</v>
      </c>
      <c r="D33" s="24">
        <v>0</v>
      </c>
      <c r="E33" s="24">
        <v>0</v>
      </c>
      <c r="F33" s="21" t="s">
        <v>321</v>
      </c>
      <c r="G33" s="24">
        <v>0</v>
      </c>
      <c r="H33" s="24">
        <v>0</v>
      </c>
      <c r="I33" s="21" t="s">
        <v>321</v>
      </c>
      <c r="J33" s="24">
        <v>0</v>
      </c>
      <c r="K33" s="24">
        <v>13.24</v>
      </c>
      <c r="L33" s="9">
        <f t="shared" si="0"/>
        <v>0</v>
      </c>
      <c r="M33" s="9">
        <f t="shared" si="1"/>
        <v>0</v>
      </c>
      <c r="N33" s="48">
        <f t="shared" si="2"/>
        <v>1</v>
      </c>
      <c r="O33" s="48">
        <f t="shared" si="3"/>
        <v>-13.24</v>
      </c>
    </row>
    <row r="34" spans="1:22" ht="45">
      <c r="A34" s="7">
        <v>32</v>
      </c>
      <c r="B34" s="7" t="s">
        <v>272</v>
      </c>
      <c r="C34" s="21" t="s">
        <v>322</v>
      </c>
      <c r="D34" s="24">
        <v>0</v>
      </c>
      <c r="E34" s="24">
        <v>0.01</v>
      </c>
      <c r="F34" s="21" t="s">
        <v>322</v>
      </c>
      <c r="G34" s="24">
        <v>0</v>
      </c>
      <c r="H34" s="24">
        <v>0</v>
      </c>
      <c r="I34" s="21" t="s">
        <v>322</v>
      </c>
      <c r="J34" s="24">
        <v>0</v>
      </c>
      <c r="K34" s="24">
        <v>12.82</v>
      </c>
      <c r="L34" s="9">
        <f t="shared" si="0"/>
        <v>0</v>
      </c>
      <c r="M34" s="9">
        <f t="shared" si="1"/>
        <v>0</v>
      </c>
      <c r="N34" s="48">
        <f t="shared" si="2"/>
        <v>0.01</v>
      </c>
      <c r="O34" s="48">
        <f t="shared" si="3"/>
        <v>-12.82</v>
      </c>
    </row>
    <row r="35" spans="1:22" ht="45">
      <c r="A35" s="7">
        <v>33</v>
      </c>
      <c r="B35" s="7" t="s">
        <v>273</v>
      </c>
      <c r="C35" s="21" t="s">
        <v>323</v>
      </c>
      <c r="D35" s="24">
        <v>0</v>
      </c>
      <c r="E35" s="24">
        <v>0.02</v>
      </c>
      <c r="F35" s="21" t="s">
        <v>359</v>
      </c>
      <c r="G35" s="24">
        <v>0</v>
      </c>
      <c r="H35" s="24">
        <v>0</v>
      </c>
      <c r="I35" s="21" t="s">
        <v>359</v>
      </c>
      <c r="J35" s="24">
        <v>0</v>
      </c>
      <c r="K35" s="24">
        <v>11.85</v>
      </c>
      <c r="L35" s="9">
        <f t="shared" ref="L35:L51" si="4">ABS(D35-G35)/IF(D35=0,1,D35)</f>
        <v>0</v>
      </c>
      <c r="M35" s="9">
        <f t="shared" ref="M35:M51" si="5">ABS(D35-J35)/IF(D35=0,1,D35)</f>
        <v>0</v>
      </c>
      <c r="N35" s="48">
        <f t="shared" ref="N35:N51" si="6">ROUND(IF(E35&lt;H35, -(H35/IF(E35=0,1,E35)), IF(E35=0,1,E35)/IF(H35=0,1,H35)), 2)</f>
        <v>0.02</v>
      </c>
      <c r="O35" s="48">
        <f t="shared" ref="O35:O51" si="7">ROUND(IF(H35&lt;K35, -(K35/IF(H35=0,1,H35)), IF(H35=0,1,H35)/IF(K35=0,1,K35)), 2)</f>
        <v>-11.85</v>
      </c>
    </row>
    <row r="36" spans="1:22" ht="45">
      <c r="A36" s="7">
        <v>34</v>
      </c>
      <c r="B36" s="7" t="s">
        <v>274</v>
      </c>
      <c r="C36" s="21" t="s">
        <v>324</v>
      </c>
      <c r="D36" s="24">
        <v>0</v>
      </c>
      <c r="E36" s="24">
        <v>0.06</v>
      </c>
      <c r="F36" s="21" t="s">
        <v>324</v>
      </c>
      <c r="G36" s="24">
        <v>0</v>
      </c>
      <c r="H36" s="24">
        <v>0</v>
      </c>
      <c r="I36" s="21" t="s">
        <v>324</v>
      </c>
      <c r="J36" s="24">
        <v>0</v>
      </c>
      <c r="K36" s="24">
        <v>12.3</v>
      </c>
      <c r="L36" s="9">
        <f t="shared" si="4"/>
        <v>0</v>
      </c>
      <c r="M36" s="9">
        <f t="shared" si="5"/>
        <v>0</v>
      </c>
      <c r="N36" s="48">
        <f t="shared" si="6"/>
        <v>0.06</v>
      </c>
      <c r="O36" s="48">
        <f t="shared" si="7"/>
        <v>-12.3</v>
      </c>
    </row>
    <row r="37" spans="1:22" ht="45">
      <c r="A37" s="7">
        <v>35</v>
      </c>
      <c r="B37" s="7" t="s">
        <v>275</v>
      </c>
      <c r="C37" s="21" t="s">
        <v>325</v>
      </c>
      <c r="D37" s="24">
        <v>0</v>
      </c>
      <c r="E37" s="24">
        <v>0.22</v>
      </c>
      <c r="F37" s="21" t="s">
        <v>580</v>
      </c>
      <c r="G37" s="24">
        <v>0.38</v>
      </c>
      <c r="H37" s="24">
        <v>0</v>
      </c>
      <c r="I37" s="21" t="s">
        <v>580</v>
      </c>
      <c r="J37" s="24">
        <v>0.38</v>
      </c>
      <c r="K37" s="24">
        <v>9.91</v>
      </c>
      <c r="L37" s="9">
        <f t="shared" si="4"/>
        <v>0.38</v>
      </c>
      <c r="M37" s="9">
        <f t="shared" si="5"/>
        <v>0.38</v>
      </c>
      <c r="N37" s="48">
        <f t="shared" si="6"/>
        <v>0.22</v>
      </c>
      <c r="O37" s="48">
        <f t="shared" si="7"/>
        <v>-9.91</v>
      </c>
    </row>
    <row r="38" spans="1:22" ht="45">
      <c r="A38" s="7">
        <v>36</v>
      </c>
      <c r="B38" s="7" t="s">
        <v>276</v>
      </c>
      <c r="C38" s="21" t="s">
        <v>326</v>
      </c>
      <c r="D38" s="24">
        <v>0</v>
      </c>
      <c r="E38" s="24">
        <v>0</v>
      </c>
      <c r="F38" s="21" t="s">
        <v>360</v>
      </c>
      <c r="G38" s="24">
        <v>0</v>
      </c>
      <c r="H38" s="24">
        <v>0.01</v>
      </c>
      <c r="I38" s="21" t="s">
        <v>360</v>
      </c>
      <c r="J38" s="24">
        <v>0</v>
      </c>
      <c r="K38" s="24">
        <v>13.87</v>
      </c>
      <c r="L38" s="9">
        <f t="shared" si="4"/>
        <v>0</v>
      </c>
      <c r="M38" s="9">
        <f t="shared" si="5"/>
        <v>0</v>
      </c>
      <c r="N38" s="48">
        <f t="shared" si="6"/>
        <v>-0.01</v>
      </c>
      <c r="O38" s="48">
        <f t="shared" si="7"/>
        <v>-1387</v>
      </c>
    </row>
    <row r="39" spans="1:22" ht="45">
      <c r="A39" s="7">
        <v>37</v>
      </c>
      <c r="B39" s="7" t="s">
        <v>277</v>
      </c>
      <c r="C39" s="21" t="s">
        <v>327</v>
      </c>
      <c r="D39" s="24">
        <v>0</v>
      </c>
      <c r="E39" s="24">
        <v>0</v>
      </c>
      <c r="F39" s="21" t="s">
        <v>361</v>
      </c>
      <c r="G39" s="24">
        <v>0</v>
      </c>
      <c r="H39" s="24">
        <v>0</v>
      </c>
      <c r="I39" s="21" t="s">
        <v>361</v>
      </c>
      <c r="J39" s="24">
        <v>0</v>
      </c>
      <c r="K39" s="24">
        <v>12.87</v>
      </c>
      <c r="L39" s="9">
        <f t="shared" si="4"/>
        <v>0</v>
      </c>
      <c r="M39" s="9">
        <f t="shared" si="5"/>
        <v>0</v>
      </c>
      <c r="N39" s="48">
        <f t="shared" si="6"/>
        <v>1</v>
      </c>
      <c r="O39" s="48">
        <f t="shared" si="7"/>
        <v>-12.87</v>
      </c>
    </row>
    <row r="40" spans="1:22" ht="45">
      <c r="A40" s="7">
        <v>38</v>
      </c>
      <c r="B40" s="7" t="s">
        <v>278</v>
      </c>
      <c r="C40" s="21" t="s">
        <v>328</v>
      </c>
      <c r="D40" s="24">
        <v>0</v>
      </c>
      <c r="E40" s="24">
        <v>0</v>
      </c>
      <c r="F40" s="21" t="s">
        <v>362</v>
      </c>
      <c r="G40" s="24">
        <v>0</v>
      </c>
      <c r="H40" s="24">
        <v>0</v>
      </c>
      <c r="I40" s="21" t="s">
        <v>362</v>
      </c>
      <c r="J40" s="24">
        <v>0</v>
      </c>
      <c r="K40" s="24">
        <v>12.37</v>
      </c>
      <c r="L40" s="9">
        <f t="shared" si="4"/>
        <v>0</v>
      </c>
      <c r="M40" s="9">
        <f t="shared" si="5"/>
        <v>0</v>
      </c>
      <c r="N40" s="48">
        <f t="shared" si="6"/>
        <v>1</v>
      </c>
      <c r="O40" s="48">
        <f t="shared" si="7"/>
        <v>-12.37</v>
      </c>
    </row>
    <row r="41" spans="1:22" ht="45">
      <c r="A41" s="7">
        <v>39</v>
      </c>
      <c r="B41" s="7" t="s">
        <v>279</v>
      </c>
      <c r="C41" s="21" t="s">
        <v>329</v>
      </c>
      <c r="D41" s="24">
        <v>0</v>
      </c>
      <c r="E41" s="24">
        <v>0.01</v>
      </c>
      <c r="F41" s="21" t="s">
        <v>363</v>
      </c>
      <c r="G41" s="24">
        <v>0</v>
      </c>
      <c r="H41" s="24">
        <v>0</v>
      </c>
      <c r="I41" s="21" t="s">
        <v>363</v>
      </c>
      <c r="J41" s="24">
        <v>0</v>
      </c>
      <c r="K41" s="24">
        <v>13.85</v>
      </c>
      <c r="L41" s="9">
        <f t="shared" si="4"/>
        <v>0</v>
      </c>
      <c r="M41" s="9">
        <f t="shared" si="5"/>
        <v>0</v>
      </c>
      <c r="N41" s="48">
        <f t="shared" si="6"/>
        <v>0.01</v>
      </c>
      <c r="O41" s="48">
        <f t="shared" si="7"/>
        <v>-13.85</v>
      </c>
    </row>
    <row r="42" spans="1:22" ht="45">
      <c r="A42" s="7">
        <v>40</v>
      </c>
      <c r="B42" s="7" t="s">
        <v>280</v>
      </c>
      <c r="C42" s="21" t="s">
        <v>330</v>
      </c>
      <c r="D42" s="24">
        <v>0</v>
      </c>
      <c r="E42" s="24">
        <v>0.02</v>
      </c>
      <c r="F42" s="21" t="s">
        <v>364</v>
      </c>
      <c r="G42" s="24">
        <v>0</v>
      </c>
      <c r="H42" s="24">
        <v>0</v>
      </c>
      <c r="I42" s="21" t="s">
        <v>364</v>
      </c>
      <c r="J42" s="24">
        <v>0</v>
      </c>
      <c r="K42" s="24">
        <v>14.08</v>
      </c>
      <c r="L42" s="9">
        <f t="shared" si="4"/>
        <v>0</v>
      </c>
      <c r="M42" s="9">
        <f t="shared" si="5"/>
        <v>0</v>
      </c>
      <c r="N42" s="48">
        <f t="shared" si="6"/>
        <v>0.02</v>
      </c>
      <c r="O42" s="48">
        <f t="shared" si="7"/>
        <v>-14.08</v>
      </c>
      <c r="V42" s="49"/>
    </row>
    <row r="43" spans="1:22" ht="45">
      <c r="A43" s="7">
        <v>41</v>
      </c>
      <c r="B43" s="7" t="s">
        <v>281</v>
      </c>
      <c r="C43" s="21" t="s">
        <v>331</v>
      </c>
      <c r="D43" s="24">
        <v>0</v>
      </c>
      <c r="E43" s="24">
        <v>0.06</v>
      </c>
      <c r="F43" s="21" t="s">
        <v>365</v>
      </c>
      <c r="G43" s="24">
        <v>0</v>
      </c>
      <c r="H43" s="24">
        <v>0</v>
      </c>
      <c r="I43" s="21" t="s">
        <v>365</v>
      </c>
      <c r="J43" s="24">
        <v>0</v>
      </c>
      <c r="K43" s="24">
        <v>10.92</v>
      </c>
      <c r="L43" s="9">
        <f t="shared" si="4"/>
        <v>0</v>
      </c>
      <c r="M43" s="9">
        <f t="shared" si="5"/>
        <v>0</v>
      </c>
      <c r="N43" s="48">
        <f t="shared" si="6"/>
        <v>0.06</v>
      </c>
      <c r="O43" s="48">
        <f t="shared" si="7"/>
        <v>-10.92</v>
      </c>
    </row>
    <row r="44" spans="1:22" ht="45">
      <c r="A44" s="7">
        <v>42</v>
      </c>
      <c r="B44" s="7" t="s">
        <v>282</v>
      </c>
      <c r="C44" s="21" t="s">
        <v>332</v>
      </c>
      <c r="D44" s="24">
        <v>0</v>
      </c>
      <c r="E44" s="24">
        <v>0.23</v>
      </c>
      <c r="F44" s="21" t="s">
        <v>366</v>
      </c>
      <c r="G44" s="24">
        <v>0</v>
      </c>
      <c r="H44" s="24">
        <v>0</v>
      </c>
      <c r="I44" s="21" t="s">
        <v>366</v>
      </c>
      <c r="J44" s="24">
        <v>0</v>
      </c>
      <c r="K44" s="24">
        <v>13.22</v>
      </c>
      <c r="L44" s="9">
        <f t="shared" si="4"/>
        <v>0</v>
      </c>
      <c r="M44" s="9">
        <f t="shared" si="5"/>
        <v>0</v>
      </c>
      <c r="N44" s="48">
        <f t="shared" si="6"/>
        <v>0.23</v>
      </c>
      <c r="O44" s="48">
        <f t="shared" si="7"/>
        <v>-13.22</v>
      </c>
    </row>
    <row r="45" spans="1:22" ht="45">
      <c r="A45" s="7">
        <v>43</v>
      </c>
      <c r="B45" s="7" t="s">
        <v>283</v>
      </c>
      <c r="C45" s="21" t="s">
        <v>333</v>
      </c>
      <c r="D45" s="24">
        <v>0</v>
      </c>
      <c r="E45" s="24">
        <v>0</v>
      </c>
      <c r="F45" s="21" t="s">
        <v>367</v>
      </c>
      <c r="G45" s="24">
        <v>0</v>
      </c>
      <c r="H45" s="24">
        <v>0.01</v>
      </c>
      <c r="I45" s="21" t="s">
        <v>367</v>
      </c>
      <c r="J45" s="24">
        <v>0</v>
      </c>
      <c r="K45" s="24">
        <v>11.56</v>
      </c>
      <c r="L45" s="9">
        <f t="shared" si="4"/>
        <v>0</v>
      </c>
      <c r="M45" s="9">
        <f t="shared" si="5"/>
        <v>0</v>
      </c>
      <c r="N45" s="48">
        <f t="shared" si="6"/>
        <v>-0.01</v>
      </c>
      <c r="O45" s="48">
        <f t="shared" si="7"/>
        <v>-1156</v>
      </c>
    </row>
    <row r="46" spans="1:22" ht="45">
      <c r="A46" s="7">
        <v>44</v>
      </c>
      <c r="B46" s="7" t="s">
        <v>284</v>
      </c>
      <c r="C46" s="21" t="s">
        <v>334</v>
      </c>
      <c r="D46" s="24">
        <v>0</v>
      </c>
      <c r="E46" s="24">
        <v>0</v>
      </c>
      <c r="F46" s="21" t="s">
        <v>334</v>
      </c>
      <c r="G46" s="24">
        <v>0</v>
      </c>
      <c r="H46" s="24">
        <v>0.01</v>
      </c>
      <c r="I46" s="21" t="s">
        <v>334</v>
      </c>
      <c r="J46" s="24">
        <v>0</v>
      </c>
      <c r="K46" s="24">
        <v>12.53</v>
      </c>
      <c r="L46" s="9">
        <f t="shared" si="4"/>
        <v>0</v>
      </c>
      <c r="M46" s="9">
        <f t="shared" si="5"/>
        <v>0</v>
      </c>
      <c r="N46" s="48">
        <f t="shared" si="6"/>
        <v>-0.01</v>
      </c>
      <c r="O46" s="48">
        <f t="shared" si="7"/>
        <v>-1253</v>
      </c>
    </row>
    <row r="47" spans="1:22" ht="45">
      <c r="A47" s="7">
        <v>45</v>
      </c>
      <c r="B47" s="7" t="s">
        <v>285</v>
      </c>
      <c r="C47" s="21" t="s">
        <v>335</v>
      </c>
      <c r="D47" s="24">
        <v>0</v>
      </c>
      <c r="E47" s="24">
        <v>0</v>
      </c>
      <c r="F47" s="21" t="s">
        <v>335</v>
      </c>
      <c r="G47" s="24">
        <v>0</v>
      </c>
      <c r="H47" s="24">
        <v>0</v>
      </c>
      <c r="I47" s="21" t="s">
        <v>335</v>
      </c>
      <c r="J47" s="24">
        <v>0</v>
      </c>
      <c r="K47" s="24">
        <v>12.61</v>
      </c>
      <c r="L47" s="9">
        <f t="shared" si="4"/>
        <v>0</v>
      </c>
      <c r="M47" s="9">
        <f t="shared" si="5"/>
        <v>0</v>
      </c>
      <c r="N47" s="48">
        <f t="shared" si="6"/>
        <v>1</v>
      </c>
      <c r="O47" s="48">
        <f t="shared" si="7"/>
        <v>-12.61</v>
      </c>
    </row>
    <row r="48" spans="1:22" ht="45">
      <c r="A48" s="7">
        <v>46</v>
      </c>
      <c r="B48" s="7" t="s">
        <v>286</v>
      </c>
      <c r="C48" s="21" t="s">
        <v>336</v>
      </c>
      <c r="D48" s="24">
        <v>0</v>
      </c>
      <c r="E48" s="24">
        <v>0</v>
      </c>
      <c r="F48" s="21" t="s">
        <v>336</v>
      </c>
      <c r="G48" s="24">
        <v>0</v>
      </c>
      <c r="H48" s="24">
        <v>0</v>
      </c>
      <c r="I48" s="21" t="s">
        <v>336</v>
      </c>
      <c r="J48" s="24">
        <v>0</v>
      </c>
      <c r="K48" s="24">
        <v>11.61</v>
      </c>
      <c r="L48" s="9">
        <f t="shared" si="4"/>
        <v>0</v>
      </c>
      <c r="M48" s="9">
        <f t="shared" si="5"/>
        <v>0</v>
      </c>
      <c r="N48" s="48">
        <f t="shared" si="6"/>
        <v>1</v>
      </c>
      <c r="O48" s="48">
        <f t="shared" si="7"/>
        <v>-11.61</v>
      </c>
    </row>
    <row r="49" spans="1:15" ht="45">
      <c r="A49" s="7">
        <v>47</v>
      </c>
      <c r="B49" s="7" t="s">
        <v>287</v>
      </c>
      <c r="C49" s="21" t="s">
        <v>337</v>
      </c>
      <c r="D49" s="24">
        <v>0</v>
      </c>
      <c r="E49" s="24">
        <v>0.02</v>
      </c>
      <c r="F49" s="21" t="s">
        <v>368</v>
      </c>
      <c r="G49" s="24">
        <v>0</v>
      </c>
      <c r="H49" s="24">
        <v>0</v>
      </c>
      <c r="I49" s="21" t="s">
        <v>368</v>
      </c>
      <c r="J49" s="24">
        <v>0</v>
      </c>
      <c r="K49" s="24">
        <v>11.7</v>
      </c>
      <c r="L49" s="9">
        <f t="shared" si="4"/>
        <v>0</v>
      </c>
      <c r="M49" s="9">
        <f t="shared" si="5"/>
        <v>0</v>
      </c>
      <c r="N49" s="48">
        <f t="shared" si="6"/>
        <v>0.02</v>
      </c>
      <c r="O49" s="48">
        <f t="shared" si="7"/>
        <v>-11.7</v>
      </c>
    </row>
    <row r="50" spans="1:15" ht="45">
      <c r="A50" s="7">
        <v>48</v>
      </c>
      <c r="B50" s="7" t="s">
        <v>288</v>
      </c>
      <c r="C50" s="21" t="s">
        <v>338</v>
      </c>
      <c r="D50" s="24">
        <v>0</v>
      </c>
      <c r="E50" s="24">
        <v>0.06</v>
      </c>
      <c r="F50" s="21" t="s">
        <v>369</v>
      </c>
      <c r="G50" s="24">
        <v>0</v>
      </c>
      <c r="H50" s="24">
        <v>0</v>
      </c>
      <c r="I50" s="21" t="s">
        <v>369</v>
      </c>
      <c r="J50" s="24">
        <v>0</v>
      </c>
      <c r="K50" s="24">
        <v>11.77</v>
      </c>
      <c r="L50" s="9">
        <f t="shared" si="4"/>
        <v>0</v>
      </c>
      <c r="M50" s="9">
        <f t="shared" si="5"/>
        <v>0</v>
      </c>
      <c r="N50" s="48">
        <f t="shared" si="6"/>
        <v>0.06</v>
      </c>
      <c r="O50" s="48">
        <f t="shared" si="7"/>
        <v>-11.77</v>
      </c>
    </row>
    <row r="51" spans="1:15" ht="45">
      <c r="A51" s="7">
        <v>49</v>
      </c>
      <c r="B51" s="7" t="s">
        <v>289</v>
      </c>
      <c r="C51" s="21" t="s">
        <v>339</v>
      </c>
      <c r="D51" s="24">
        <v>0</v>
      </c>
      <c r="E51" s="24">
        <v>0.21</v>
      </c>
      <c r="F51" s="21" t="s">
        <v>339</v>
      </c>
      <c r="G51" s="24">
        <v>0</v>
      </c>
      <c r="H51" s="24">
        <v>0</v>
      </c>
      <c r="I51" s="21" t="s">
        <v>339</v>
      </c>
      <c r="J51" s="24">
        <v>0</v>
      </c>
      <c r="K51" s="24">
        <v>11.64</v>
      </c>
      <c r="L51" s="9">
        <f t="shared" si="4"/>
        <v>0</v>
      </c>
      <c r="M51" s="9">
        <f t="shared" si="5"/>
        <v>0</v>
      </c>
      <c r="N51" s="48">
        <f t="shared" si="6"/>
        <v>0.21</v>
      </c>
      <c r="O51" s="48">
        <f t="shared" si="7"/>
        <v>-11.64</v>
      </c>
    </row>
    <row r="52" spans="1:15" ht="18.75">
      <c r="I52" s="94" t="s">
        <v>370</v>
      </c>
      <c r="J52" s="98"/>
      <c r="K52" s="98"/>
      <c r="L52" s="18">
        <f>AVERAGE(L$3:L$51)</f>
        <v>1.7959183673469388E-2</v>
      </c>
      <c r="M52" s="18">
        <f>AVERAGE(M$3:M$51)</f>
        <v>1.7959183673469388E-2</v>
      </c>
      <c r="N52" s="19">
        <f>AVERAGE(N$3:N$51)</f>
        <v>0.33061224489795915</v>
      </c>
      <c r="O52" s="19">
        <f>AVERAGE(O$3:O$51)</f>
        <v>-170.12877551020415</v>
      </c>
    </row>
    <row r="53" spans="1:15" ht="18.75">
      <c r="I53" s="95" t="s">
        <v>371</v>
      </c>
      <c r="J53" s="99"/>
      <c r="K53" s="99"/>
      <c r="L53" s="14">
        <f>MIN(L$3:L$51)</f>
        <v>0</v>
      </c>
      <c r="M53" s="14">
        <f>MIN(M$3:M$51)</f>
        <v>0</v>
      </c>
      <c r="N53" s="15">
        <f>MIN(N$3:N$51)</f>
        <v>-0.01</v>
      </c>
      <c r="O53" s="15">
        <f>MIN(O$3:O$51)</f>
        <v>-1475</v>
      </c>
    </row>
    <row r="54" spans="1:15" ht="18.75">
      <c r="I54" s="96" t="s">
        <v>372</v>
      </c>
      <c r="J54" s="100"/>
      <c r="K54" s="100"/>
      <c r="L54" s="16">
        <f>MAX(L$3:L$51)</f>
        <v>0.5</v>
      </c>
      <c r="M54" s="16">
        <f>MAX(M$3:M$51)</f>
        <v>0.5</v>
      </c>
      <c r="N54" s="17">
        <f>MAX(N$3:N$51)</f>
        <v>1</v>
      </c>
      <c r="O54" s="17">
        <f>MAX(O$3:O$51)</f>
        <v>-9.4700000000000006</v>
      </c>
    </row>
    <row r="55" spans="1:15" ht="31.5">
      <c r="L55" s="11" t="s">
        <v>211</v>
      </c>
      <c r="M55" s="10" t="s">
        <v>528</v>
      </c>
      <c r="N55" s="23" t="s">
        <v>290</v>
      </c>
      <c r="O55" s="43" t="s">
        <v>529</v>
      </c>
    </row>
  </sheetData>
  <mergeCells count="9">
    <mergeCell ref="L1:O1"/>
    <mergeCell ref="I52:K52"/>
    <mergeCell ref="I53:K53"/>
    <mergeCell ref="I54:K54"/>
    <mergeCell ref="A1:A2"/>
    <mergeCell ref="B1:B2"/>
    <mergeCell ref="C1:E1"/>
    <mergeCell ref="F1:H1"/>
    <mergeCell ref="I1:K1"/>
  </mergeCells>
  <conditionalFormatting sqref="L1:L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6:L1048576 L3:L5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5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6:M1048576 M3:M5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O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5:O5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6:O1048576 N3:O5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BF11-D72E-499D-A9E5-C9343A81F515}">
  <dimension ref="A1:V55"/>
  <sheetViews>
    <sheetView topLeftCell="G10" zoomScale="85" zoomScaleNormal="85" workbookViewId="0">
      <selection activeCell="R38" sqref="R38"/>
    </sheetView>
  </sheetViews>
  <sheetFormatPr baseColWidth="10" defaultRowHeight="15"/>
  <cols>
    <col min="1" max="1" width="8.140625" style="5" customWidth="1"/>
    <col min="2" max="2" width="32.42578125" style="5" bestFit="1" customWidth="1"/>
    <col min="3" max="3" width="25.42578125" style="22" bestFit="1" customWidth="1"/>
    <col min="4" max="4" width="8.5703125" style="25" customWidth="1"/>
    <col min="5" max="5" width="8.28515625" style="25" bestFit="1" customWidth="1"/>
    <col min="6" max="6" width="25.42578125" style="22" bestFit="1" customWidth="1"/>
    <col min="7" max="7" width="8.5703125" style="25" bestFit="1" customWidth="1"/>
    <col min="8" max="8" width="8.28515625" style="25" bestFit="1" customWidth="1"/>
    <col min="9" max="9" width="25.42578125" style="22" bestFit="1" customWidth="1"/>
    <col min="10" max="10" width="8.5703125" style="25" bestFit="1" customWidth="1"/>
    <col min="11" max="11" width="8.28515625" style="25" bestFit="1" customWidth="1"/>
    <col min="12" max="12" width="11.140625" style="6" bestFit="1" customWidth="1"/>
    <col min="13" max="13" width="12.5703125" style="6" bestFit="1" customWidth="1"/>
    <col min="14" max="14" width="10.5703125" style="49" bestFit="1" customWidth="1"/>
    <col min="15" max="15" width="11.42578125" style="49" bestFit="1" customWidth="1"/>
    <col min="16" max="16384" width="11.42578125" style="5"/>
  </cols>
  <sheetData>
    <row r="1" spans="1:15" ht="15.75" customHeight="1">
      <c r="A1" s="84" t="s">
        <v>176</v>
      </c>
      <c r="B1" s="84" t="s">
        <v>0</v>
      </c>
      <c r="C1" s="85" t="s">
        <v>177</v>
      </c>
      <c r="D1" s="101"/>
      <c r="E1" s="101"/>
      <c r="F1" s="86" t="s">
        <v>377</v>
      </c>
      <c r="G1" s="102"/>
      <c r="H1" s="102"/>
      <c r="I1" s="87" t="s">
        <v>525</v>
      </c>
      <c r="J1" s="103"/>
      <c r="K1" s="103"/>
      <c r="L1" s="91" t="s">
        <v>210</v>
      </c>
      <c r="M1" s="92"/>
      <c r="N1" s="97"/>
      <c r="O1" s="97"/>
    </row>
    <row r="2" spans="1:15" ht="31.5">
      <c r="A2" s="84"/>
      <c r="B2" s="84"/>
      <c r="C2" s="32" t="s">
        <v>1</v>
      </c>
      <c r="D2" s="23" t="s">
        <v>373</v>
      </c>
      <c r="E2" s="23" t="s">
        <v>375</v>
      </c>
      <c r="F2" s="33" t="s">
        <v>1</v>
      </c>
      <c r="G2" s="42" t="s">
        <v>374</v>
      </c>
      <c r="H2" s="42" t="s">
        <v>376</v>
      </c>
      <c r="I2" s="34" t="s">
        <v>1</v>
      </c>
      <c r="J2" s="43" t="s">
        <v>526</v>
      </c>
      <c r="K2" s="43" t="s">
        <v>527</v>
      </c>
      <c r="L2" s="11" t="s">
        <v>211</v>
      </c>
      <c r="M2" s="10" t="s">
        <v>528</v>
      </c>
      <c r="N2" s="23" t="s">
        <v>290</v>
      </c>
      <c r="O2" s="43" t="s">
        <v>529</v>
      </c>
    </row>
    <row r="3" spans="1:15" ht="45">
      <c r="A3" s="7">
        <v>1</v>
      </c>
      <c r="B3" s="8" t="s">
        <v>2</v>
      </c>
      <c r="C3" s="21" t="s">
        <v>426</v>
      </c>
      <c r="D3" s="24">
        <v>0.47</v>
      </c>
      <c r="E3" s="24">
        <v>114.3</v>
      </c>
      <c r="F3" s="21" t="s">
        <v>426</v>
      </c>
      <c r="G3" s="24">
        <v>0.47</v>
      </c>
      <c r="H3" s="24">
        <v>0.11</v>
      </c>
      <c r="I3" s="21" t="s">
        <v>426</v>
      </c>
      <c r="J3" s="24">
        <v>0.47</v>
      </c>
      <c r="K3" s="24">
        <v>12.73</v>
      </c>
      <c r="L3" s="9">
        <f t="shared" ref="L3:L34" si="0">ABS(D3-G3)/IF(D3=0,1,D3)</f>
        <v>0</v>
      </c>
      <c r="M3" s="9">
        <f t="shared" ref="M3:M34" si="1">ABS(D3-J3)/IF(D3=0,1,D3)</f>
        <v>0</v>
      </c>
      <c r="N3" s="48">
        <f t="shared" ref="N3:N34" si="2">ROUND(IF(E3&lt;H3, -(H3/IF(E3=0,1,E3)), IF(E3=0,1,E3)/IF(H3=0,1,H3)), 2)</f>
        <v>1039.0899999999999</v>
      </c>
      <c r="O3" s="48">
        <f t="shared" ref="O3:O34" si="3">ROUND(IF(H3&lt;K3, -(K3/IF(H3=0,1,H3)), IF(H3=0,1,H3)/IF(K3=0,1,K3)), 2)</f>
        <v>-115.73</v>
      </c>
    </row>
    <row r="4" spans="1:15" ht="45">
      <c r="A4" s="7">
        <v>2</v>
      </c>
      <c r="B4" s="8" t="s">
        <v>378</v>
      </c>
      <c r="C4" s="21" t="s">
        <v>427</v>
      </c>
      <c r="D4" s="24">
        <v>0</v>
      </c>
      <c r="E4" s="24">
        <v>56.06</v>
      </c>
      <c r="F4" s="21" t="s">
        <v>427</v>
      </c>
      <c r="G4" s="24">
        <v>0</v>
      </c>
      <c r="H4" s="24">
        <v>0.05</v>
      </c>
      <c r="I4" s="21" t="s">
        <v>427</v>
      </c>
      <c r="J4" s="24">
        <v>0</v>
      </c>
      <c r="K4" s="24">
        <v>12.69</v>
      </c>
      <c r="L4" s="9">
        <f t="shared" si="0"/>
        <v>0</v>
      </c>
      <c r="M4" s="9">
        <f t="shared" si="1"/>
        <v>0</v>
      </c>
      <c r="N4" s="48">
        <f t="shared" si="2"/>
        <v>1121.2</v>
      </c>
      <c r="O4" s="48">
        <f t="shared" si="3"/>
        <v>-253.8</v>
      </c>
    </row>
    <row r="5" spans="1:15" ht="45">
      <c r="A5" s="7">
        <v>3</v>
      </c>
      <c r="B5" s="8" t="s">
        <v>379</v>
      </c>
      <c r="C5" s="21" t="s">
        <v>428</v>
      </c>
      <c r="D5" s="24">
        <v>0</v>
      </c>
      <c r="E5" s="24">
        <v>56.05</v>
      </c>
      <c r="F5" s="21" t="s">
        <v>428</v>
      </c>
      <c r="G5" s="24">
        <v>0</v>
      </c>
      <c r="H5" s="24">
        <v>0.05</v>
      </c>
      <c r="I5" s="21" t="s">
        <v>428</v>
      </c>
      <c r="J5" s="24">
        <v>0</v>
      </c>
      <c r="K5" s="24">
        <v>12.72</v>
      </c>
      <c r="L5" s="9">
        <f t="shared" si="0"/>
        <v>0</v>
      </c>
      <c r="M5" s="9">
        <f t="shared" si="1"/>
        <v>0</v>
      </c>
      <c r="N5" s="48">
        <f t="shared" si="2"/>
        <v>1121</v>
      </c>
      <c r="O5" s="48">
        <f t="shared" si="3"/>
        <v>-254.4</v>
      </c>
    </row>
    <row r="6" spans="1:15" ht="45">
      <c r="A6" s="7">
        <v>4</v>
      </c>
      <c r="B6" s="8" t="s">
        <v>380</v>
      </c>
      <c r="C6" s="21" t="s">
        <v>429</v>
      </c>
      <c r="D6" s="24">
        <v>0.01</v>
      </c>
      <c r="E6" s="24">
        <v>28.71</v>
      </c>
      <c r="F6" s="21" t="s">
        <v>429</v>
      </c>
      <c r="G6" s="24">
        <v>0.01</v>
      </c>
      <c r="H6" s="24">
        <v>0.03</v>
      </c>
      <c r="I6" s="21" t="s">
        <v>429</v>
      </c>
      <c r="J6" s="24">
        <v>0.01</v>
      </c>
      <c r="K6" s="24">
        <v>12.76</v>
      </c>
      <c r="L6" s="9">
        <f t="shared" si="0"/>
        <v>0</v>
      </c>
      <c r="M6" s="9">
        <f t="shared" si="1"/>
        <v>0</v>
      </c>
      <c r="N6" s="48">
        <f t="shared" si="2"/>
        <v>957</v>
      </c>
      <c r="O6" s="48">
        <f t="shared" si="3"/>
        <v>-425.33</v>
      </c>
    </row>
    <row r="7" spans="1:15" ht="45">
      <c r="A7" s="7">
        <v>5</v>
      </c>
      <c r="B7" s="8" t="s">
        <v>381</v>
      </c>
      <c r="C7" s="21" t="s">
        <v>430</v>
      </c>
      <c r="D7" s="24">
        <v>0.02</v>
      </c>
      <c r="E7" s="24">
        <v>3.46</v>
      </c>
      <c r="F7" s="21" t="s">
        <v>430</v>
      </c>
      <c r="G7" s="24">
        <v>0.02</v>
      </c>
      <c r="H7" s="24">
        <v>0.01</v>
      </c>
      <c r="I7" s="21" t="s">
        <v>430</v>
      </c>
      <c r="J7" s="24">
        <v>0.02</v>
      </c>
      <c r="K7" s="24">
        <v>12.61</v>
      </c>
      <c r="L7" s="9">
        <f t="shared" si="0"/>
        <v>0</v>
      </c>
      <c r="M7" s="9">
        <f t="shared" si="1"/>
        <v>0</v>
      </c>
      <c r="N7" s="48">
        <f t="shared" si="2"/>
        <v>346</v>
      </c>
      <c r="O7" s="48">
        <f t="shared" si="3"/>
        <v>-1261</v>
      </c>
    </row>
    <row r="8" spans="1:15" ht="45">
      <c r="A8" s="7">
        <v>6</v>
      </c>
      <c r="B8" s="8" t="s">
        <v>382</v>
      </c>
      <c r="C8" s="21" t="s">
        <v>431</v>
      </c>
      <c r="D8" s="24">
        <v>0</v>
      </c>
      <c r="E8" s="24">
        <v>3.42</v>
      </c>
      <c r="F8" s="21" t="s">
        <v>431</v>
      </c>
      <c r="G8" s="24">
        <v>0</v>
      </c>
      <c r="H8" s="24">
        <v>0</v>
      </c>
      <c r="I8" s="21" t="s">
        <v>431</v>
      </c>
      <c r="J8" s="24">
        <v>0</v>
      </c>
      <c r="K8" s="24">
        <v>13.59</v>
      </c>
      <c r="L8" s="9">
        <f t="shared" si="0"/>
        <v>0</v>
      </c>
      <c r="M8" s="9">
        <f t="shared" si="1"/>
        <v>0</v>
      </c>
      <c r="N8" s="48">
        <f t="shared" si="2"/>
        <v>3.42</v>
      </c>
      <c r="O8" s="48">
        <f t="shared" si="3"/>
        <v>-13.59</v>
      </c>
    </row>
    <row r="9" spans="1:15" ht="45">
      <c r="A9" s="7">
        <v>7</v>
      </c>
      <c r="B9" s="8" t="s">
        <v>383</v>
      </c>
      <c r="C9" s="21" t="s">
        <v>432</v>
      </c>
      <c r="D9" s="24">
        <v>0.01</v>
      </c>
      <c r="E9" s="24">
        <v>14.08</v>
      </c>
      <c r="F9" s="21" t="s">
        <v>432</v>
      </c>
      <c r="G9" s="24">
        <v>0.01</v>
      </c>
      <c r="H9" s="24">
        <v>0.01</v>
      </c>
      <c r="I9" s="21" t="s">
        <v>432</v>
      </c>
      <c r="J9" s="24">
        <v>0.01</v>
      </c>
      <c r="K9" s="24">
        <v>13.28</v>
      </c>
      <c r="L9" s="9">
        <f t="shared" si="0"/>
        <v>0</v>
      </c>
      <c r="M9" s="9">
        <f t="shared" si="1"/>
        <v>0</v>
      </c>
      <c r="N9" s="48">
        <f t="shared" si="2"/>
        <v>1408</v>
      </c>
      <c r="O9" s="48">
        <f t="shared" si="3"/>
        <v>-1328</v>
      </c>
    </row>
    <row r="10" spans="1:15" ht="45">
      <c r="A10" s="7">
        <v>8</v>
      </c>
      <c r="B10" s="8" t="s">
        <v>384</v>
      </c>
      <c r="C10" s="21" t="s">
        <v>433</v>
      </c>
      <c r="D10" s="24">
        <v>0.47</v>
      </c>
      <c r="E10" s="24">
        <v>51.43</v>
      </c>
      <c r="F10" s="21" t="s">
        <v>433</v>
      </c>
      <c r="G10" s="24">
        <v>0.47</v>
      </c>
      <c r="H10" s="24">
        <v>0.1</v>
      </c>
      <c r="I10" s="21" t="s">
        <v>433</v>
      </c>
      <c r="J10" s="24">
        <v>0.47</v>
      </c>
      <c r="K10" s="24">
        <v>12.31</v>
      </c>
      <c r="L10" s="9">
        <f t="shared" si="0"/>
        <v>0</v>
      </c>
      <c r="M10" s="9">
        <f t="shared" si="1"/>
        <v>0</v>
      </c>
      <c r="N10" s="48">
        <f t="shared" si="2"/>
        <v>514.29999999999995</v>
      </c>
      <c r="O10" s="48">
        <f t="shared" si="3"/>
        <v>-123.1</v>
      </c>
    </row>
    <row r="11" spans="1:15" ht="45">
      <c r="A11" s="7">
        <v>9</v>
      </c>
      <c r="B11" s="8" t="s">
        <v>385</v>
      </c>
      <c r="C11" s="21" t="s">
        <v>434</v>
      </c>
      <c r="D11" s="24">
        <v>0</v>
      </c>
      <c r="E11" s="24">
        <v>25.83</v>
      </c>
      <c r="F11" s="21" t="s">
        <v>434</v>
      </c>
      <c r="G11" s="24">
        <v>0</v>
      </c>
      <c r="H11" s="24">
        <v>0.05</v>
      </c>
      <c r="I11" s="21" t="s">
        <v>434</v>
      </c>
      <c r="J11" s="24">
        <v>0</v>
      </c>
      <c r="K11" s="24">
        <v>12.47</v>
      </c>
      <c r="L11" s="9">
        <f t="shared" si="0"/>
        <v>0</v>
      </c>
      <c r="M11" s="9">
        <f t="shared" si="1"/>
        <v>0</v>
      </c>
      <c r="N11" s="48">
        <f t="shared" si="2"/>
        <v>516.6</v>
      </c>
      <c r="O11" s="48">
        <f t="shared" si="3"/>
        <v>-249.4</v>
      </c>
    </row>
    <row r="12" spans="1:15" ht="45">
      <c r="A12" s="7">
        <v>10</v>
      </c>
      <c r="B12" s="8" t="s">
        <v>386</v>
      </c>
      <c r="C12" s="21" t="s">
        <v>435</v>
      </c>
      <c r="D12" s="24">
        <v>0</v>
      </c>
      <c r="E12" s="24">
        <v>25.55</v>
      </c>
      <c r="F12" s="21" t="s">
        <v>435</v>
      </c>
      <c r="G12" s="24">
        <v>0</v>
      </c>
      <c r="H12" s="24">
        <v>0.11</v>
      </c>
      <c r="I12" s="21" t="s">
        <v>435</v>
      </c>
      <c r="J12" s="24">
        <v>0</v>
      </c>
      <c r="K12" s="24">
        <v>12.64</v>
      </c>
      <c r="L12" s="9">
        <f t="shared" si="0"/>
        <v>0</v>
      </c>
      <c r="M12" s="9">
        <f t="shared" si="1"/>
        <v>0</v>
      </c>
      <c r="N12" s="48">
        <f t="shared" si="2"/>
        <v>232.27</v>
      </c>
      <c r="O12" s="48">
        <f t="shared" si="3"/>
        <v>-114.91</v>
      </c>
    </row>
    <row r="13" spans="1:15" ht="45">
      <c r="A13" s="7">
        <v>11</v>
      </c>
      <c r="B13" s="8" t="s">
        <v>387</v>
      </c>
      <c r="C13" s="21" t="s">
        <v>436</v>
      </c>
      <c r="D13" s="24">
        <v>0.01</v>
      </c>
      <c r="E13" s="24">
        <v>13.29</v>
      </c>
      <c r="F13" s="21" t="s">
        <v>436</v>
      </c>
      <c r="G13" s="24">
        <v>0.01</v>
      </c>
      <c r="H13" s="24">
        <v>0.03</v>
      </c>
      <c r="I13" s="21" t="s">
        <v>436</v>
      </c>
      <c r="J13" s="24">
        <v>0.01</v>
      </c>
      <c r="K13" s="24">
        <v>14.12</v>
      </c>
      <c r="L13" s="9">
        <f t="shared" si="0"/>
        <v>0</v>
      </c>
      <c r="M13" s="9">
        <f t="shared" si="1"/>
        <v>0</v>
      </c>
      <c r="N13" s="48">
        <f t="shared" si="2"/>
        <v>443</v>
      </c>
      <c r="O13" s="48">
        <f t="shared" si="3"/>
        <v>-470.67</v>
      </c>
    </row>
    <row r="14" spans="1:15" ht="45">
      <c r="A14" s="7">
        <v>12</v>
      </c>
      <c r="B14" s="8" t="s">
        <v>388</v>
      </c>
      <c r="C14" s="21" t="s">
        <v>437</v>
      </c>
      <c r="D14" s="24">
        <v>0.02</v>
      </c>
      <c r="E14" s="24">
        <v>1.63</v>
      </c>
      <c r="F14" s="21" t="s">
        <v>437</v>
      </c>
      <c r="G14" s="24">
        <v>0.02</v>
      </c>
      <c r="H14" s="24">
        <v>0.01</v>
      </c>
      <c r="I14" s="21" t="s">
        <v>437</v>
      </c>
      <c r="J14" s="24">
        <v>0.02</v>
      </c>
      <c r="K14" s="24">
        <v>13.71</v>
      </c>
      <c r="L14" s="9">
        <f t="shared" si="0"/>
        <v>0</v>
      </c>
      <c r="M14" s="9">
        <f t="shared" si="1"/>
        <v>0</v>
      </c>
      <c r="N14" s="48">
        <f t="shared" si="2"/>
        <v>163</v>
      </c>
      <c r="O14" s="48">
        <f t="shared" si="3"/>
        <v>-1371</v>
      </c>
    </row>
    <row r="15" spans="1:15" ht="45">
      <c r="A15" s="7">
        <v>13</v>
      </c>
      <c r="B15" s="8" t="s">
        <v>389</v>
      </c>
      <c r="C15" s="21" t="s">
        <v>438</v>
      </c>
      <c r="D15" s="24">
        <v>0</v>
      </c>
      <c r="E15" s="24">
        <v>1.61</v>
      </c>
      <c r="F15" s="21" t="s">
        <v>438</v>
      </c>
      <c r="G15" s="24">
        <v>0</v>
      </c>
      <c r="H15" s="24">
        <v>0.01</v>
      </c>
      <c r="I15" s="21" t="s">
        <v>438</v>
      </c>
      <c r="J15" s="24">
        <v>0</v>
      </c>
      <c r="K15" s="24">
        <v>12.55</v>
      </c>
      <c r="L15" s="9">
        <f t="shared" si="0"/>
        <v>0</v>
      </c>
      <c r="M15" s="9">
        <f t="shared" si="1"/>
        <v>0</v>
      </c>
      <c r="N15" s="48">
        <f t="shared" si="2"/>
        <v>161</v>
      </c>
      <c r="O15" s="48">
        <f t="shared" si="3"/>
        <v>-1255</v>
      </c>
    </row>
    <row r="16" spans="1:15" ht="45">
      <c r="A16" s="7">
        <v>14</v>
      </c>
      <c r="B16" s="8" t="s">
        <v>390</v>
      </c>
      <c r="C16" s="21" t="s">
        <v>439</v>
      </c>
      <c r="D16" s="24">
        <v>0.02</v>
      </c>
      <c r="E16" s="24">
        <v>6.9</v>
      </c>
      <c r="F16" s="21" t="s">
        <v>439</v>
      </c>
      <c r="G16" s="24">
        <v>0.02</v>
      </c>
      <c r="H16" s="24">
        <v>0.01</v>
      </c>
      <c r="I16" s="21" t="s">
        <v>439</v>
      </c>
      <c r="J16" s="24">
        <v>0.02</v>
      </c>
      <c r="K16" s="24">
        <v>12.84</v>
      </c>
      <c r="L16" s="9">
        <f t="shared" si="0"/>
        <v>0</v>
      </c>
      <c r="M16" s="9">
        <f t="shared" si="1"/>
        <v>0</v>
      </c>
      <c r="N16" s="48">
        <f t="shared" si="2"/>
        <v>690</v>
      </c>
      <c r="O16" s="48">
        <f t="shared" si="3"/>
        <v>-1284</v>
      </c>
    </row>
    <row r="17" spans="1:15" ht="45">
      <c r="A17" s="7">
        <v>15</v>
      </c>
      <c r="B17" s="8" t="s">
        <v>391</v>
      </c>
      <c r="C17" s="21" t="s">
        <v>440</v>
      </c>
      <c r="D17" s="24">
        <v>0.47</v>
      </c>
      <c r="E17" s="24">
        <v>54.73</v>
      </c>
      <c r="F17" s="21" t="s">
        <v>440</v>
      </c>
      <c r="G17" s="24">
        <v>0.47</v>
      </c>
      <c r="H17" s="24">
        <v>0.1</v>
      </c>
      <c r="I17" s="21" t="s">
        <v>440</v>
      </c>
      <c r="J17" s="24">
        <v>0.47</v>
      </c>
      <c r="K17" s="24">
        <v>13.13</v>
      </c>
      <c r="L17" s="9">
        <f t="shared" si="0"/>
        <v>0</v>
      </c>
      <c r="M17" s="9">
        <f t="shared" si="1"/>
        <v>0</v>
      </c>
      <c r="N17" s="48">
        <f t="shared" si="2"/>
        <v>547.29999999999995</v>
      </c>
      <c r="O17" s="48">
        <f t="shared" si="3"/>
        <v>-131.30000000000001</v>
      </c>
    </row>
    <row r="18" spans="1:15" ht="45">
      <c r="A18" s="7">
        <v>16</v>
      </c>
      <c r="B18" s="8" t="s">
        <v>392</v>
      </c>
      <c r="C18" s="21" t="s">
        <v>441</v>
      </c>
      <c r="D18" s="24">
        <v>0</v>
      </c>
      <c r="E18" s="24">
        <v>26.27</v>
      </c>
      <c r="F18" s="21" t="s">
        <v>441</v>
      </c>
      <c r="G18" s="24">
        <v>0</v>
      </c>
      <c r="H18" s="24">
        <v>0.05</v>
      </c>
      <c r="I18" s="21" t="s">
        <v>441</v>
      </c>
      <c r="J18" s="24">
        <v>0</v>
      </c>
      <c r="K18" s="24">
        <v>12.59</v>
      </c>
      <c r="L18" s="9">
        <f t="shared" si="0"/>
        <v>0</v>
      </c>
      <c r="M18" s="9">
        <f t="shared" si="1"/>
        <v>0</v>
      </c>
      <c r="N18" s="48">
        <f t="shared" si="2"/>
        <v>525.4</v>
      </c>
      <c r="O18" s="48">
        <f t="shared" si="3"/>
        <v>-251.8</v>
      </c>
    </row>
    <row r="19" spans="1:15" ht="45">
      <c r="A19" s="7">
        <v>17</v>
      </c>
      <c r="B19" s="8" t="s">
        <v>393</v>
      </c>
      <c r="C19" s="21" t="s">
        <v>442</v>
      </c>
      <c r="D19" s="24">
        <v>0</v>
      </c>
      <c r="E19" s="24">
        <v>27.8</v>
      </c>
      <c r="F19" s="21" t="s">
        <v>442</v>
      </c>
      <c r="G19" s="24">
        <v>0</v>
      </c>
      <c r="H19" s="24">
        <v>0.11</v>
      </c>
      <c r="I19" s="21" t="s">
        <v>442</v>
      </c>
      <c r="J19" s="24">
        <v>0</v>
      </c>
      <c r="K19" s="24">
        <v>12.59</v>
      </c>
      <c r="L19" s="9">
        <f t="shared" si="0"/>
        <v>0</v>
      </c>
      <c r="M19" s="9">
        <f t="shared" si="1"/>
        <v>0</v>
      </c>
      <c r="N19" s="48">
        <f t="shared" si="2"/>
        <v>252.73</v>
      </c>
      <c r="O19" s="48">
        <f t="shared" si="3"/>
        <v>-114.45</v>
      </c>
    </row>
    <row r="20" spans="1:15" ht="45">
      <c r="A20" s="7">
        <v>18</v>
      </c>
      <c r="B20" s="8" t="s">
        <v>394</v>
      </c>
      <c r="C20" s="21" t="s">
        <v>443</v>
      </c>
      <c r="D20" s="24">
        <v>0.01</v>
      </c>
      <c r="E20" s="24">
        <v>14</v>
      </c>
      <c r="F20" s="21" t="s">
        <v>443</v>
      </c>
      <c r="G20" s="24">
        <v>0.01</v>
      </c>
      <c r="H20" s="24">
        <v>0.02</v>
      </c>
      <c r="I20" s="21" t="s">
        <v>443</v>
      </c>
      <c r="J20" s="24">
        <v>0.01</v>
      </c>
      <c r="K20" s="24">
        <v>13.3</v>
      </c>
      <c r="L20" s="9">
        <f t="shared" si="0"/>
        <v>0</v>
      </c>
      <c r="M20" s="9">
        <f t="shared" si="1"/>
        <v>0</v>
      </c>
      <c r="N20" s="48">
        <f t="shared" si="2"/>
        <v>700</v>
      </c>
      <c r="O20" s="48">
        <f t="shared" si="3"/>
        <v>-665</v>
      </c>
    </row>
    <row r="21" spans="1:15" ht="45">
      <c r="A21" s="7">
        <v>19</v>
      </c>
      <c r="B21" s="8" t="s">
        <v>395</v>
      </c>
      <c r="C21" s="21" t="s">
        <v>444</v>
      </c>
      <c r="D21" s="24">
        <v>0.02</v>
      </c>
      <c r="E21" s="24">
        <v>1.78</v>
      </c>
      <c r="F21" s="21" t="s">
        <v>444</v>
      </c>
      <c r="G21" s="24">
        <v>0.02</v>
      </c>
      <c r="H21" s="24">
        <v>0.01</v>
      </c>
      <c r="I21" s="21" t="s">
        <v>444</v>
      </c>
      <c r="J21" s="24">
        <v>0.02</v>
      </c>
      <c r="K21" s="24">
        <v>12.88</v>
      </c>
      <c r="L21" s="9">
        <f t="shared" si="0"/>
        <v>0</v>
      </c>
      <c r="M21" s="9">
        <f t="shared" si="1"/>
        <v>0</v>
      </c>
      <c r="N21" s="48">
        <f t="shared" si="2"/>
        <v>178</v>
      </c>
      <c r="O21" s="48">
        <f t="shared" si="3"/>
        <v>-1288</v>
      </c>
    </row>
    <row r="22" spans="1:15" ht="45">
      <c r="A22" s="7">
        <v>20</v>
      </c>
      <c r="B22" s="8" t="s">
        <v>396</v>
      </c>
      <c r="C22" s="21" t="s">
        <v>445</v>
      </c>
      <c r="D22" s="24">
        <v>0</v>
      </c>
      <c r="E22" s="24">
        <v>1.77</v>
      </c>
      <c r="F22" s="21" t="s">
        <v>445</v>
      </c>
      <c r="G22" s="24">
        <v>0</v>
      </c>
      <c r="H22" s="24">
        <v>0</v>
      </c>
      <c r="I22" s="21" t="s">
        <v>445</v>
      </c>
      <c r="J22" s="24">
        <v>0</v>
      </c>
      <c r="K22" s="24">
        <v>12.96</v>
      </c>
      <c r="L22" s="9">
        <f t="shared" si="0"/>
        <v>0</v>
      </c>
      <c r="M22" s="9">
        <f t="shared" si="1"/>
        <v>0</v>
      </c>
      <c r="N22" s="48">
        <f t="shared" si="2"/>
        <v>1.77</v>
      </c>
      <c r="O22" s="48">
        <f t="shared" si="3"/>
        <v>-12.96</v>
      </c>
    </row>
    <row r="23" spans="1:15" ht="45">
      <c r="A23" s="7">
        <v>21</v>
      </c>
      <c r="B23" s="8" t="s">
        <v>397</v>
      </c>
      <c r="C23" s="21" t="s">
        <v>446</v>
      </c>
      <c r="D23" s="24">
        <v>0.01</v>
      </c>
      <c r="E23" s="24">
        <v>7.86</v>
      </c>
      <c r="F23" s="21" t="s">
        <v>446</v>
      </c>
      <c r="G23" s="24">
        <v>0.01</v>
      </c>
      <c r="H23" s="24">
        <v>0.01</v>
      </c>
      <c r="I23" s="21" t="s">
        <v>446</v>
      </c>
      <c r="J23" s="24">
        <v>0.01</v>
      </c>
      <c r="K23" s="24">
        <v>12.99</v>
      </c>
      <c r="L23" s="9">
        <f t="shared" si="0"/>
        <v>0</v>
      </c>
      <c r="M23" s="9">
        <f t="shared" si="1"/>
        <v>0</v>
      </c>
      <c r="N23" s="48">
        <f t="shared" si="2"/>
        <v>786</v>
      </c>
      <c r="O23" s="48">
        <f t="shared" si="3"/>
        <v>-1299</v>
      </c>
    </row>
    <row r="24" spans="1:15" ht="45">
      <c r="A24" s="7">
        <v>22</v>
      </c>
      <c r="B24" s="8" t="s">
        <v>398</v>
      </c>
      <c r="C24" s="21" t="s">
        <v>447</v>
      </c>
      <c r="D24" s="24">
        <v>0.47</v>
      </c>
      <c r="E24" s="24">
        <v>27.11</v>
      </c>
      <c r="F24" s="21" t="s">
        <v>447</v>
      </c>
      <c r="G24" s="24">
        <v>0.47</v>
      </c>
      <c r="H24" s="24">
        <v>0.09</v>
      </c>
      <c r="I24" s="21" t="s">
        <v>447</v>
      </c>
      <c r="J24" s="24">
        <v>0.47</v>
      </c>
      <c r="K24" s="24">
        <v>12.74</v>
      </c>
      <c r="L24" s="9">
        <f t="shared" si="0"/>
        <v>0</v>
      </c>
      <c r="M24" s="9">
        <f t="shared" si="1"/>
        <v>0</v>
      </c>
      <c r="N24" s="48">
        <f t="shared" si="2"/>
        <v>301.22000000000003</v>
      </c>
      <c r="O24" s="48">
        <f t="shared" si="3"/>
        <v>-141.56</v>
      </c>
    </row>
    <row r="25" spans="1:15" ht="45">
      <c r="A25" s="7">
        <v>23</v>
      </c>
      <c r="B25" s="8" t="s">
        <v>399</v>
      </c>
      <c r="C25" s="21" t="s">
        <v>448</v>
      </c>
      <c r="D25" s="24">
        <v>0</v>
      </c>
      <c r="E25" s="24">
        <v>13.52</v>
      </c>
      <c r="F25" s="21" t="s">
        <v>448</v>
      </c>
      <c r="G25" s="24">
        <v>0</v>
      </c>
      <c r="H25" s="24">
        <v>0.04</v>
      </c>
      <c r="I25" s="21" t="s">
        <v>448</v>
      </c>
      <c r="J25" s="24">
        <v>0</v>
      </c>
      <c r="K25" s="24">
        <v>12.62</v>
      </c>
      <c r="L25" s="9">
        <f t="shared" si="0"/>
        <v>0</v>
      </c>
      <c r="M25" s="9">
        <f t="shared" si="1"/>
        <v>0</v>
      </c>
      <c r="N25" s="48">
        <f t="shared" si="2"/>
        <v>338</v>
      </c>
      <c r="O25" s="48">
        <f t="shared" si="3"/>
        <v>-315.5</v>
      </c>
    </row>
    <row r="26" spans="1:15" ht="45">
      <c r="A26" s="7">
        <v>24</v>
      </c>
      <c r="B26" s="8" t="s">
        <v>400</v>
      </c>
      <c r="C26" s="21" t="s">
        <v>449</v>
      </c>
      <c r="D26" s="24">
        <v>0</v>
      </c>
      <c r="E26" s="24">
        <v>14.32</v>
      </c>
      <c r="F26" s="21" t="s">
        <v>449</v>
      </c>
      <c r="G26" s="24">
        <v>0</v>
      </c>
      <c r="H26" s="24">
        <v>0.04</v>
      </c>
      <c r="I26" s="21" t="s">
        <v>449</v>
      </c>
      <c r="J26" s="24">
        <v>0</v>
      </c>
      <c r="K26" s="24">
        <v>13.89</v>
      </c>
      <c r="L26" s="9">
        <f t="shared" si="0"/>
        <v>0</v>
      </c>
      <c r="M26" s="9">
        <f t="shared" si="1"/>
        <v>0</v>
      </c>
      <c r="N26" s="48">
        <f t="shared" si="2"/>
        <v>358</v>
      </c>
      <c r="O26" s="48">
        <f t="shared" si="3"/>
        <v>-347.25</v>
      </c>
    </row>
    <row r="27" spans="1:15" ht="45">
      <c r="A27" s="7">
        <v>25</v>
      </c>
      <c r="B27" s="8" t="s">
        <v>401</v>
      </c>
      <c r="C27" s="21" t="s">
        <v>450</v>
      </c>
      <c r="D27" s="24">
        <v>0.01</v>
      </c>
      <c r="E27" s="24">
        <v>6.53</v>
      </c>
      <c r="F27" s="21" t="s">
        <v>450</v>
      </c>
      <c r="G27" s="24">
        <v>0.01</v>
      </c>
      <c r="H27" s="24">
        <v>0.02</v>
      </c>
      <c r="I27" s="21" t="s">
        <v>450</v>
      </c>
      <c r="J27" s="24">
        <v>0.01</v>
      </c>
      <c r="K27" s="24">
        <v>13.16</v>
      </c>
      <c r="L27" s="9">
        <f t="shared" si="0"/>
        <v>0</v>
      </c>
      <c r="M27" s="9">
        <f t="shared" si="1"/>
        <v>0</v>
      </c>
      <c r="N27" s="48">
        <f t="shared" si="2"/>
        <v>326.5</v>
      </c>
      <c r="O27" s="48">
        <f t="shared" si="3"/>
        <v>-658</v>
      </c>
    </row>
    <row r="28" spans="1:15" ht="45">
      <c r="A28" s="7">
        <v>26</v>
      </c>
      <c r="B28" s="8" t="s">
        <v>402</v>
      </c>
      <c r="C28" s="21" t="s">
        <v>451</v>
      </c>
      <c r="D28" s="24">
        <v>0.02</v>
      </c>
      <c r="E28" s="24">
        <v>0.94</v>
      </c>
      <c r="F28" s="21" t="s">
        <v>451</v>
      </c>
      <c r="G28" s="24">
        <v>0.02</v>
      </c>
      <c r="H28" s="24">
        <v>0</v>
      </c>
      <c r="I28" s="21" t="s">
        <v>451</v>
      </c>
      <c r="J28" s="24">
        <v>0.02</v>
      </c>
      <c r="K28" s="24">
        <v>12.92</v>
      </c>
      <c r="L28" s="9">
        <f t="shared" si="0"/>
        <v>0</v>
      </c>
      <c r="M28" s="9">
        <f t="shared" si="1"/>
        <v>0</v>
      </c>
      <c r="N28" s="48">
        <f t="shared" si="2"/>
        <v>0.94</v>
      </c>
      <c r="O28" s="48">
        <f t="shared" si="3"/>
        <v>-12.92</v>
      </c>
    </row>
    <row r="29" spans="1:15" ht="45">
      <c r="A29" s="7">
        <v>27</v>
      </c>
      <c r="B29" s="8" t="s">
        <v>403</v>
      </c>
      <c r="C29" s="21" t="s">
        <v>452</v>
      </c>
      <c r="D29" s="24">
        <v>0</v>
      </c>
      <c r="E29" s="24">
        <v>0.89</v>
      </c>
      <c r="F29" s="21" t="s">
        <v>452</v>
      </c>
      <c r="G29" s="24">
        <v>0</v>
      </c>
      <c r="H29" s="24">
        <v>0</v>
      </c>
      <c r="I29" s="21" t="s">
        <v>452</v>
      </c>
      <c r="J29" s="24">
        <v>0</v>
      </c>
      <c r="K29" s="24">
        <v>13.1</v>
      </c>
      <c r="L29" s="9">
        <f t="shared" si="0"/>
        <v>0</v>
      </c>
      <c r="M29" s="9">
        <f t="shared" si="1"/>
        <v>0</v>
      </c>
      <c r="N29" s="48">
        <f t="shared" si="2"/>
        <v>0.89</v>
      </c>
      <c r="O29" s="48">
        <f t="shared" si="3"/>
        <v>-13.1</v>
      </c>
    </row>
    <row r="30" spans="1:15" ht="45">
      <c r="A30" s="7">
        <v>28</v>
      </c>
      <c r="B30" s="8" t="s">
        <v>404</v>
      </c>
      <c r="C30" s="21" t="s">
        <v>453</v>
      </c>
      <c r="D30" s="24">
        <v>0.02</v>
      </c>
      <c r="E30" s="24">
        <v>3.53</v>
      </c>
      <c r="F30" s="21" t="s">
        <v>453</v>
      </c>
      <c r="G30" s="24">
        <v>0.02</v>
      </c>
      <c r="H30" s="24">
        <v>0.01</v>
      </c>
      <c r="I30" s="21" t="s">
        <v>453</v>
      </c>
      <c r="J30" s="24">
        <v>0.02</v>
      </c>
      <c r="K30" s="24">
        <v>12.69</v>
      </c>
      <c r="L30" s="9">
        <f t="shared" si="0"/>
        <v>0</v>
      </c>
      <c r="M30" s="9">
        <f t="shared" si="1"/>
        <v>0</v>
      </c>
      <c r="N30" s="48">
        <f t="shared" si="2"/>
        <v>353</v>
      </c>
      <c r="O30" s="48">
        <f t="shared" si="3"/>
        <v>-1269</v>
      </c>
    </row>
    <row r="31" spans="1:15" ht="45">
      <c r="A31" s="7">
        <v>29</v>
      </c>
      <c r="B31" s="7" t="s">
        <v>405</v>
      </c>
      <c r="C31" s="21" t="s">
        <v>454</v>
      </c>
      <c r="D31" s="24">
        <v>0.47</v>
      </c>
      <c r="E31" s="24">
        <v>2.87</v>
      </c>
      <c r="F31" s="21" t="s">
        <v>454</v>
      </c>
      <c r="G31" s="24">
        <v>0.47</v>
      </c>
      <c r="H31" s="24">
        <v>7.0000000000000007E-2</v>
      </c>
      <c r="I31" s="21" t="s">
        <v>454</v>
      </c>
      <c r="J31" s="24">
        <v>0.47</v>
      </c>
      <c r="K31" s="24">
        <v>10.41</v>
      </c>
      <c r="L31" s="9">
        <f t="shared" si="0"/>
        <v>0</v>
      </c>
      <c r="M31" s="9">
        <f t="shared" si="1"/>
        <v>0</v>
      </c>
      <c r="N31" s="48">
        <f t="shared" si="2"/>
        <v>41</v>
      </c>
      <c r="O31" s="48">
        <f t="shared" si="3"/>
        <v>-148.71</v>
      </c>
    </row>
    <row r="32" spans="1:15" ht="45">
      <c r="A32" s="7">
        <v>30</v>
      </c>
      <c r="B32" s="7" t="s">
        <v>406</v>
      </c>
      <c r="C32" s="21" t="s">
        <v>455</v>
      </c>
      <c r="D32" s="24">
        <v>0</v>
      </c>
      <c r="E32" s="24">
        <v>1.43</v>
      </c>
      <c r="F32" s="21" t="s">
        <v>455</v>
      </c>
      <c r="G32" s="24">
        <v>0</v>
      </c>
      <c r="H32" s="24">
        <v>0.03</v>
      </c>
      <c r="I32" s="21" t="s">
        <v>455</v>
      </c>
      <c r="J32" s="24">
        <v>0</v>
      </c>
      <c r="K32" s="24">
        <v>12.88</v>
      </c>
      <c r="L32" s="9">
        <f t="shared" si="0"/>
        <v>0</v>
      </c>
      <c r="M32" s="9">
        <f t="shared" si="1"/>
        <v>0</v>
      </c>
      <c r="N32" s="48">
        <f t="shared" si="2"/>
        <v>47.67</v>
      </c>
      <c r="O32" s="48">
        <f t="shared" si="3"/>
        <v>-429.33</v>
      </c>
    </row>
    <row r="33" spans="1:22" ht="45">
      <c r="A33" s="7">
        <v>31</v>
      </c>
      <c r="B33" s="7" t="s">
        <v>407</v>
      </c>
      <c r="C33" s="21" t="s">
        <v>456</v>
      </c>
      <c r="D33" s="24">
        <v>0</v>
      </c>
      <c r="E33" s="24">
        <v>1.4</v>
      </c>
      <c r="F33" s="21" t="s">
        <v>456</v>
      </c>
      <c r="G33" s="24">
        <v>0</v>
      </c>
      <c r="H33" s="24">
        <v>0.03</v>
      </c>
      <c r="I33" s="21" t="s">
        <v>456</v>
      </c>
      <c r="J33" s="24">
        <v>0</v>
      </c>
      <c r="K33" s="24">
        <v>14.18</v>
      </c>
      <c r="L33" s="9">
        <f t="shared" si="0"/>
        <v>0</v>
      </c>
      <c r="M33" s="9">
        <f t="shared" si="1"/>
        <v>0</v>
      </c>
      <c r="N33" s="48">
        <f t="shared" si="2"/>
        <v>46.67</v>
      </c>
      <c r="O33" s="48">
        <f t="shared" si="3"/>
        <v>-472.67</v>
      </c>
    </row>
    <row r="34" spans="1:22" ht="45">
      <c r="A34" s="7">
        <v>32</v>
      </c>
      <c r="B34" s="7" t="s">
        <v>408</v>
      </c>
      <c r="C34" s="21" t="s">
        <v>457</v>
      </c>
      <c r="D34" s="24">
        <v>0.02</v>
      </c>
      <c r="E34" s="24">
        <v>0.82</v>
      </c>
      <c r="F34" s="21" t="s">
        <v>457</v>
      </c>
      <c r="G34" s="24">
        <v>0.02</v>
      </c>
      <c r="H34" s="24">
        <v>0.01</v>
      </c>
      <c r="I34" s="21" t="s">
        <v>457</v>
      </c>
      <c r="J34" s="24">
        <v>0.02</v>
      </c>
      <c r="K34" s="24">
        <v>12.77</v>
      </c>
      <c r="L34" s="9">
        <f t="shared" si="0"/>
        <v>0</v>
      </c>
      <c r="M34" s="9">
        <f t="shared" si="1"/>
        <v>0</v>
      </c>
      <c r="N34" s="48">
        <f t="shared" si="2"/>
        <v>82</v>
      </c>
      <c r="O34" s="48">
        <f t="shared" si="3"/>
        <v>-1277</v>
      </c>
    </row>
    <row r="35" spans="1:22" ht="45">
      <c r="A35" s="7">
        <v>33</v>
      </c>
      <c r="B35" s="7" t="s">
        <v>409</v>
      </c>
      <c r="C35" s="21" t="s">
        <v>458</v>
      </c>
      <c r="D35" s="24">
        <v>0.02</v>
      </c>
      <c r="E35" s="24">
        <v>0.12</v>
      </c>
      <c r="F35" s="21" t="s">
        <v>458</v>
      </c>
      <c r="G35" s="24">
        <v>0.02</v>
      </c>
      <c r="H35" s="24">
        <v>0</v>
      </c>
      <c r="I35" s="21" t="s">
        <v>458</v>
      </c>
      <c r="J35" s="24">
        <v>0.02</v>
      </c>
      <c r="K35" s="24">
        <v>12.69</v>
      </c>
      <c r="L35" s="9">
        <f t="shared" ref="L35:L51" si="4">ABS(D35-G35)/IF(D35=0,1,D35)</f>
        <v>0</v>
      </c>
      <c r="M35" s="9">
        <f t="shared" ref="M35:M51" si="5">ABS(D35-J35)/IF(D35=0,1,D35)</f>
        <v>0</v>
      </c>
      <c r="N35" s="48">
        <f t="shared" ref="N35:N51" si="6">ROUND(IF(E35&lt;H35, -(H35/IF(E35=0,1,E35)), IF(E35=0,1,E35)/IF(H35=0,1,H35)), 2)</f>
        <v>0.12</v>
      </c>
      <c r="O35" s="48">
        <f t="shared" ref="O35:O51" si="7">ROUND(IF(H35&lt;K35, -(K35/IF(H35=0,1,H35)), IF(H35=0,1,H35)/IF(K35=0,1,K35)), 2)</f>
        <v>-12.69</v>
      </c>
    </row>
    <row r="36" spans="1:22" ht="45">
      <c r="A36" s="7">
        <v>34</v>
      </c>
      <c r="B36" s="7" t="s">
        <v>410</v>
      </c>
      <c r="C36" s="21" t="s">
        <v>459</v>
      </c>
      <c r="D36" s="24">
        <v>0</v>
      </c>
      <c r="E36" s="24">
        <v>0.15</v>
      </c>
      <c r="F36" s="21" t="s">
        <v>459</v>
      </c>
      <c r="G36" s="24">
        <v>0</v>
      </c>
      <c r="H36" s="24">
        <v>0</v>
      </c>
      <c r="I36" s="21" t="s">
        <v>459</v>
      </c>
      <c r="J36" s="24">
        <v>0</v>
      </c>
      <c r="K36" s="24">
        <v>12.91</v>
      </c>
      <c r="L36" s="9">
        <f t="shared" si="4"/>
        <v>0</v>
      </c>
      <c r="M36" s="9">
        <f t="shared" si="5"/>
        <v>0</v>
      </c>
      <c r="N36" s="48">
        <f t="shared" si="6"/>
        <v>0.15</v>
      </c>
      <c r="O36" s="48">
        <f t="shared" si="7"/>
        <v>-12.91</v>
      </c>
    </row>
    <row r="37" spans="1:22" ht="45">
      <c r="A37" s="7">
        <v>35</v>
      </c>
      <c r="B37" s="7" t="s">
        <v>411</v>
      </c>
      <c r="C37" s="21" t="s">
        <v>460</v>
      </c>
      <c r="D37" s="24">
        <v>0.02</v>
      </c>
      <c r="E37" s="24">
        <v>0.57999999999999996</v>
      </c>
      <c r="F37" s="21" t="s">
        <v>460</v>
      </c>
      <c r="G37" s="24">
        <v>0.02</v>
      </c>
      <c r="H37" s="24">
        <v>0.01</v>
      </c>
      <c r="I37" s="21" t="s">
        <v>460</v>
      </c>
      <c r="J37" s="24">
        <v>0.02</v>
      </c>
      <c r="K37" s="24">
        <v>12.98</v>
      </c>
      <c r="L37" s="9">
        <f t="shared" si="4"/>
        <v>0</v>
      </c>
      <c r="M37" s="9">
        <f t="shared" si="5"/>
        <v>0</v>
      </c>
      <c r="N37" s="48">
        <f t="shared" si="6"/>
        <v>58</v>
      </c>
      <c r="O37" s="48">
        <f t="shared" si="7"/>
        <v>-1298</v>
      </c>
      <c r="V37" s="49"/>
    </row>
    <row r="38" spans="1:22" ht="45">
      <c r="A38" s="7">
        <v>36</v>
      </c>
      <c r="B38" s="7" t="s">
        <v>412</v>
      </c>
      <c r="C38" s="21" t="s">
        <v>461</v>
      </c>
      <c r="D38" s="24">
        <v>0.48</v>
      </c>
      <c r="E38" s="24">
        <v>2.82</v>
      </c>
      <c r="F38" s="21" t="s">
        <v>475</v>
      </c>
      <c r="G38" s="24">
        <v>0.49</v>
      </c>
      <c r="H38" s="24">
        <v>0.05</v>
      </c>
      <c r="I38" s="21" t="s">
        <v>475</v>
      </c>
      <c r="J38" s="24">
        <v>0.49</v>
      </c>
      <c r="K38" s="24">
        <v>12.52</v>
      </c>
      <c r="L38" s="9">
        <f t="shared" si="4"/>
        <v>2.0833333333333353E-2</v>
      </c>
      <c r="M38" s="9">
        <f t="shared" si="5"/>
        <v>2.0833333333333353E-2</v>
      </c>
      <c r="N38" s="48">
        <f t="shared" si="6"/>
        <v>56.4</v>
      </c>
      <c r="O38" s="48">
        <f t="shared" si="7"/>
        <v>-250.4</v>
      </c>
    </row>
    <row r="39" spans="1:22" ht="45">
      <c r="A39" s="7">
        <v>37</v>
      </c>
      <c r="B39" s="7" t="s">
        <v>413</v>
      </c>
      <c r="C39" s="21" t="s">
        <v>462</v>
      </c>
      <c r="D39" s="24">
        <v>0.01</v>
      </c>
      <c r="E39" s="24">
        <v>1.43</v>
      </c>
      <c r="F39" s="21" t="s">
        <v>462</v>
      </c>
      <c r="G39" s="24">
        <v>0.01</v>
      </c>
      <c r="H39" s="24">
        <v>0.03</v>
      </c>
      <c r="I39" s="21" t="s">
        <v>462</v>
      </c>
      <c r="J39" s="24">
        <v>0.01</v>
      </c>
      <c r="K39" s="24">
        <v>13.15</v>
      </c>
      <c r="L39" s="9">
        <f t="shared" si="4"/>
        <v>0</v>
      </c>
      <c r="M39" s="9">
        <f t="shared" si="5"/>
        <v>0</v>
      </c>
      <c r="N39" s="48">
        <f t="shared" si="6"/>
        <v>47.67</v>
      </c>
      <c r="O39" s="48">
        <f t="shared" si="7"/>
        <v>-438.33</v>
      </c>
    </row>
    <row r="40" spans="1:22" ht="45">
      <c r="A40" s="7">
        <v>38</v>
      </c>
      <c r="B40" s="7" t="s">
        <v>414</v>
      </c>
      <c r="C40" s="21" t="s">
        <v>463</v>
      </c>
      <c r="D40" s="24">
        <v>0.01</v>
      </c>
      <c r="E40" s="24">
        <v>1.45</v>
      </c>
      <c r="F40" s="21" t="s">
        <v>463</v>
      </c>
      <c r="G40" s="24">
        <v>0.01</v>
      </c>
      <c r="H40" s="24">
        <v>0.03</v>
      </c>
      <c r="I40" s="21" t="s">
        <v>463</v>
      </c>
      <c r="J40" s="24">
        <v>0.01</v>
      </c>
      <c r="K40" s="24">
        <v>12.86</v>
      </c>
      <c r="L40" s="9">
        <f t="shared" si="4"/>
        <v>0</v>
      </c>
      <c r="M40" s="9">
        <f t="shared" si="5"/>
        <v>0</v>
      </c>
      <c r="N40" s="48">
        <f t="shared" si="6"/>
        <v>48.33</v>
      </c>
      <c r="O40" s="48">
        <f t="shared" si="7"/>
        <v>-428.67</v>
      </c>
    </row>
    <row r="41" spans="1:22" ht="45">
      <c r="A41" s="7">
        <v>39</v>
      </c>
      <c r="B41" s="7" t="s">
        <v>415</v>
      </c>
      <c r="C41" s="21" t="s">
        <v>464</v>
      </c>
      <c r="D41" s="24">
        <v>0.01</v>
      </c>
      <c r="E41" s="24">
        <v>0.87</v>
      </c>
      <c r="F41" s="21" t="s">
        <v>464</v>
      </c>
      <c r="G41" s="24">
        <v>0.01</v>
      </c>
      <c r="H41" s="24">
        <v>0.01</v>
      </c>
      <c r="I41" s="21" t="s">
        <v>464</v>
      </c>
      <c r="J41" s="24">
        <v>0.01</v>
      </c>
      <c r="K41" s="24">
        <v>10.23</v>
      </c>
      <c r="L41" s="9">
        <f t="shared" si="4"/>
        <v>0</v>
      </c>
      <c r="M41" s="9">
        <f t="shared" si="5"/>
        <v>0</v>
      </c>
      <c r="N41" s="48">
        <f t="shared" si="6"/>
        <v>87</v>
      </c>
      <c r="O41" s="48">
        <f t="shared" si="7"/>
        <v>-1023</v>
      </c>
    </row>
    <row r="42" spans="1:22" ht="45">
      <c r="A42" s="7">
        <v>40</v>
      </c>
      <c r="B42" s="7" t="s">
        <v>416</v>
      </c>
      <c r="C42" s="21" t="s">
        <v>465</v>
      </c>
      <c r="D42" s="24">
        <v>0.02</v>
      </c>
      <c r="E42" s="24">
        <v>0.12</v>
      </c>
      <c r="F42" s="21" t="s">
        <v>465</v>
      </c>
      <c r="G42" s="24">
        <v>0.02</v>
      </c>
      <c r="H42" s="24">
        <v>0</v>
      </c>
      <c r="I42" s="21" t="s">
        <v>465</v>
      </c>
      <c r="J42" s="24">
        <v>0.02</v>
      </c>
      <c r="K42" s="24">
        <v>13.07</v>
      </c>
      <c r="L42" s="9">
        <f t="shared" si="4"/>
        <v>0</v>
      </c>
      <c r="M42" s="9">
        <f t="shared" si="5"/>
        <v>0</v>
      </c>
      <c r="N42" s="48">
        <f t="shared" si="6"/>
        <v>0.12</v>
      </c>
      <c r="O42" s="48">
        <f t="shared" si="7"/>
        <v>-13.07</v>
      </c>
    </row>
    <row r="43" spans="1:22" ht="45">
      <c r="A43" s="7">
        <v>41</v>
      </c>
      <c r="B43" s="7" t="s">
        <v>417</v>
      </c>
      <c r="C43" s="21" t="s">
        <v>466</v>
      </c>
      <c r="D43" s="24">
        <v>0.02</v>
      </c>
      <c r="E43" s="24">
        <v>0.17</v>
      </c>
      <c r="F43" s="21" t="s">
        <v>466</v>
      </c>
      <c r="G43" s="24">
        <v>0.02</v>
      </c>
      <c r="H43" s="24">
        <v>0</v>
      </c>
      <c r="I43" s="21" t="s">
        <v>466</v>
      </c>
      <c r="J43" s="24">
        <v>0.02</v>
      </c>
      <c r="K43" s="24">
        <v>12.63</v>
      </c>
      <c r="L43" s="9">
        <f t="shared" si="4"/>
        <v>0</v>
      </c>
      <c r="M43" s="9">
        <f t="shared" si="5"/>
        <v>0</v>
      </c>
      <c r="N43" s="48">
        <f t="shared" si="6"/>
        <v>0.17</v>
      </c>
      <c r="O43" s="48">
        <f t="shared" si="7"/>
        <v>-12.63</v>
      </c>
    </row>
    <row r="44" spans="1:22" ht="45">
      <c r="A44" s="7">
        <v>42</v>
      </c>
      <c r="B44" s="7" t="s">
        <v>418</v>
      </c>
      <c r="C44" s="21" t="s">
        <v>467</v>
      </c>
      <c r="D44" s="24">
        <v>0.01</v>
      </c>
      <c r="E44" s="24">
        <v>0.67</v>
      </c>
      <c r="F44" s="21" t="s">
        <v>467</v>
      </c>
      <c r="G44" s="24">
        <v>0.01</v>
      </c>
      <c r="H44" s="24">
        <v>0.01</v>
      </c>
      <c r="I44" s="21" t="s">
        <v>467</v>
      </c>
      <c r="J44" s="24">
        <v>0.01</v>
      </c>
      <c r="K44" s="24">
        <v>9.75</v>
      </c>
      <c r="L44" s="9">
        <f t="shared" si="4"/>
        <v>0</v>
      </c>
      <c r="M44" s="9">
        <f t="shared" si="5"/>
        <v>0</v>
      </c>
      <c r="N44" s="48">
        <f t="shared" si="6"/>
        <v>67</v>
      </c>
      <c r="O44" s="48">
        <f t="shared" si="7"/>
        <v>-975</v>
      </c>
    </row>
    <row r="45" spans="1:22" ht="45">
      <c r="A45" s="7">
        <v>43</v>
      </c>
      <c r="B45" s="7" t="s">
        <v>419</v>
      </c>
      <c r="C45" s="21" t="s">
        <v>468</v>
      </c>
      <c r="D45" s="24">
        <v>0.48</v>
      </c>
      <c r="E45" s="24">
        <v>11.75</v>
      </c>
      <c r="F45" s="21" t="s">
        <v>468</v>
      </c>
      <c r="G45" s="24">
        <v>0.48</v>
      </c>
      <c r="H45" s="24">
        <v>0.08</v>
      </c>
      <c r="I45" s="21" t="s">
        <v>468</v>
      </c>
      <c r="J45" s="24">
        <v>0.48</v>
      </c>
      <c r="K45" s="24">
        <v>12.36</v>
      </c>
      <c r="L45" s="9">
        <f t="shared" si="4"/>
        <v>0</v>
      </c>
      <c r="M45" s="9">
        <f t="shared" si="5"/>
        <v>0</v>
      </c>
      <c r="N45" s="48">
        <f t="shared" si="6"/>
        <v>146.88</v>
      </c>
      <c r="O45" s="48">
        <f t="shared" si="7"/>
        <v>-154.5</v>
      </c>
    </row>
    <row r="46" spans="1:22" ht="45">
      <c r="A46" s="7">
        <v>44</v>
      </c>
      <c r="B46" s="7" t="s">
        <v>420</v>
      </c>
      <c r="C46" s="21" t="s">
        <v>469</v>
      </c>
      <c r="D46" s="24">
        <v>0</v>
      </c>
      <c r="E46" s="24">
        <v>5.8</v>
      </c>
      <c r="F46" s="21" t="s">
        <v>469</v>
      </c>
      <c r="G46" s="24">
        <v>0</v>
      </c>
      <c r="H46" s="24">
        <v>0.04</v>
      </c>
      <c r="I46" s="21" t="s">
        <v>469</v>
      </c>
      <c r="J46" s="24">
        <v>0</v>
      </c>
      <c r="K46" s="24">
        <v>12.13</v>
      </c>
      <c r="L46" s="9">
        <f t="shared" si="4"/>
        <v>0</v>
      </c>
      <c r="M46" s="9">
        <f t="shared" si="5"/>
        <v>0</v>
      </c>
      <c r="N46" s="48">
        <f t="shared" si="6"/>
        <v>145</v>
      </c>
      <c r="O46" s="48">
        <f t="shared" si="7"/>
        <v>-303.25</v>
      </c>
    </row>
    <row r="47" spans="1:22" ht="45">
      <c r="A47" s="7">
        <v>45</v>
      </c>
      <c r="B47" s="7" t="s">
        <v>421</v>
      </c>
      <c r="C47" s="21" t="s">
        <v>470</v>
      </c>
      <c r="D47" s="24">
        <v>0</v>
      </c>
      <c r="E47" s="24">
        <v>5.8</v>
      </c>
      <c r="F47" s="21" t="s">
        <v>470</v>
      </c>
      <c r="G47" s="24">
        <v>0</v>
      </c>
      <c r="H47" s="24">
        <v>0.09</v>
      </c>
      <c r="I47" s="21" t="s">
        <v>470</v>
      </c>
      <c r="J47" s="24">
        <v>0</v>
      </c>
      <c r="K47" s="24">
        <v>12.16</v>
      </c>
      <c r="L47" s="9">
        <f t="shared" si="4"/>
        <v>0</v>
      </c>
      <c r="M47" s="9">
        <f t="shared" si="5"/>
        <v>0</v>
      </c>
      <c r="N47" s="48">
        <f t="shared" si="6"/>
        <v>64.44</v>
      </c>
      <c r="O47" s="48">
        <f t="shared" si="7"/>
        <v>-135.11000000000001</v>
      </c>
    </row>
    <row r="48" spans="1:22" ht="45">
      <c r="A48" s="7">
        <v>46</v>
      </c>
      <c r="B48" s="7" t="s">
        <v>422</v>
      </c>
      <c r="C48" s="21" t="s">
        <v>471</v>
      </c>
      <c r="D48" s="24">
        <v>0.01</v>
      </c>
      <c r="E48" s="24">
        <v>2.87</v>
      </c>
      <c r="F48" s="21" t="s">
        <v>471</v>
      </c>
      <c r="G48" s="24">
        <v>0.01</v>
      </c>
      <c r="H48" s="24">
        <v>0.02</v>
      </c>
      <c r="I48" s="21" t="s">
        <v>471</v>
      </c>
      <c r="J48" s="24">
        <v>0.01</v>
      </c>
      <c r="K48" s="24">
        <v>12.27</v>
      </c>
      <c r="L48" s="9">
        <f t="shared" si="4"/>
        <v>0</v>
      </c>
      <c r="M48" s="9">
        <f t="shared" si="5"/>
        <v>0</v>
      </c>
      <c r="N48" s="48">
        <f t="shared" si="6"/>
        <v>143.5</v>
      </c>
      <c r="O48" s="48">
        <f t="shared" si="7"/>
        <v>-613.5</v>
      </c>
    </row>
    <row r="49" spans="1:15" ht="45">
      <c r="A49" s="7">
        <v>47</v>
      </c>
      <c r="B49" s="7" t="s">
        <v>423</v>
      </c>
      <c r="C49" s="21" t="s">
        <v>472</v>
      </c>
      <c r="D49" s="24">
        <v>0.02</v>
      </c>
      <c r="E49" s="24">
        <v>0.38</v>
      </c>
      <c r="F49" s="21" t="s">
        <v>472</v>
      </c>
      <c r="G49" s="24">
        <v>0.02</v>
      </c>
      <c r="H49" s="24">
        <v>0</v>
      </c>
      <c r="I49" s="21" t="s">
        <v>472</v>
      </c>
      <c r="J49" s="24">
        <v>0.02</v>
      </c>
      <c r="K49" s="24">
        <v>12.35</v>
      </c>
      <c r="L49" s="9">
        <f t="shared" si="4"/>
        <v>0</v>
      </c>
      <c r="M49" s="9">
        <f t="shared" si="5"/>
        <v>0</v>
      </c>
      <c r="N49" s="48">
        <f t="shared" si="6"/>
        <v>0.38</v>
      </c>
      <c r="O49" s="48">
        <f t="shared" si="7"/>
        <v>-12.35</v>
      </c>
    </row>
    <row r="50" spans="1:15" ht="45">
      <c r="A50" s="7">
        <v>48</v>
      </c>
      <c r="B50" s="7" t="s">
        <v>424</v>
      </c>
      <c r="C50" s="21" t="s">
        <v>473</v>
      </c>
      <c r="D50" s="24">
        <v>0.02</v>
      </c>
      <c r="E50" s="24">
        <v>0.43</v>
      </c>
      <c r="F50" s="21" t="s">
        <v>473</v>
      </c>
      <c r="G50" s="24">
        <v>0.02</v>
      </c>
      <c r="H50" s="24">
        <v>0</v>
      </c>
      <c r="I50" s="21" t="s">
        <v>473</v>
      </c>
      <c r="J50" s="24">
        <v>0.02</v>
      </c>
      <c r="K50" s="24">
        <v>12.3</v>
      </c>
      <c r="L50" s="9">
        <f t="shared" si="4"/>
        <v>0</v>
      </c>
      <c r="M50" s="9">
        <f t="shared" si="5"/>
        <v>0</v>
      </c>
      <c r="N50" s="48">
        <f t="shared" si="6"/>
        <v>0.43</v>
      </c>
      <c r="O50" s="48">
        <f t="shared" si="7"/>
        <v>-12.3</v>
      </c>
    </row>
    <row r="51" spans="1:15" ht="45">
      <c r="A51" s="7">
        <v>49</v>
      </c>
      <c r="B51" s="7" t="s">
        <v>425</v>
      </c>
      <c r="C51" s="21" t="s">
        <v>474</v>
      </c>
      <c r="D51" s="24">
        <v>0.01</v>
      </c>
      <c r="E51" s="24">
        <v>1.72</v>
      </c>
      <c r="F51" s="21" t="s">
        <v>474</v>
      </c>
      <c r="G51" s="24">
        <v>0.01</v>
      </c>
      <c r="H51" s="24">
        <v>0.01</v>
      </c>
      <c r="I51" s="21" t="s">
        <v>474</v>
      </c>
      <c r="J51" s="24">
        <v>0.01</v>
      </c>
      <c r="K51" s="24">
        <v>12.26</v>
      </c>
      <c r="L51" s="9">
        <f t="shared" si="4"/>
        <v>0</v>
      </c>
      <c r="M51" s="9">
        <f t="shared" si="5"/>
        <v>0</v>
      </c>
      <c r="N51" s="48">
        <f t="shared" si="6"/>
        <v>172</v>
      </c>
      <c r="O51" s="48">
        <f t="shared" si="7"/>
        <v>-1226</v>
      </c>
    </row>
    <row r="52" spans="1:15" ht="18.75">
      <c r="I52" s="94" t="s">
        <v>370</v>
      </c>
      <c r="J52" s="98"/>
      <c r="K52" s="98"/>
      <c r="L52" s="18">
        <f>AVERAGE(L$3:L$51)</f>
        <v>4.251700680272113E-4</v>
      </c>
      <c r="M52" s="18">
        <f>AVERAGE(M$3:M$51)</f>
        <v>4.251700680272113E-4</v>
      </c>
      <c r="N52" s="19">
        <f>AVERAGE(N$3:N$51)</f>
        <v>298.78693877551018</v>
      </c>
      <c r="O52" s="19">
        <f>AVERAGE(O$3:O$51)</f>
        <v>-495.69775510204073</v>
      </c>
    </row>
    <row r="53" spans="1:15" ht="18.75">
      <c r="I53" s="95" t="s">
        <v>371</v>
      </c>
      <c r="J53" s="99"/>
      <c r="K53" s="99"/>
      <c r="L53" s="14">
        <f>MIN(L$3:L$51)</f>
        <v>0</v>
      </c>
      <c r="M53" s="14">
        <f>MIN(M$3:M$51)</f>
        <v>0</v>
      </c>
      <c r="N53" s="15">
        <f>MIN(N$3:N$51)</f>
        <v>0.12</v>
      </c>
      <c r="O53" s="15">
        <f>MIN(O$3:O$51)</f>
        <v>-1371</v>
      </c>
    </row>
    <row r="54" spans="1:15" ht="18.75">
      <c r="I54" s="96" t="s">
        <v>372</v>
      </c>
      <c r="J54" s="100"/>
      <c r="K54" s="100"/>
      <c r="L54" s="16">
        <f>MAX(L$3:L$51)</f>
        <v>2.0833333333333353E-2</v>
      </c>
      <c r="M54" s="16">
        <f>MAX(M$3:M$51)</f>
        <v>2.0833333333333353E-2</v>
      </c>
      <c r="N54" s="17">
        <f>MAX(N$3:N$51)</f>
        <v>1408</v>
      </c>
      <c r="O54" s="17">
        <f>MAX(O$3:O$51)</f>
        <v>-12.3</v>
      </c>
    </row>
    <row r="55" spans="1:15" ht="31.5">
      <c r="L55" s="11" t="s">
        <v>211</v>
      </c>
      <c r="M55" s="10" t="s">
        <v>528</v>
      </c>
      <c r="N55" s="23" t="s">
        <v>290</v>
      </c>
      <c r="O55" s="43" t="s">
        <v>529</v>
      </c>
    </row>
  </sheetData>
  <mergeCells count="9">
    <mergeCell ref="L1:O1"/>
    <mergeCell ref="I52:K52"/>
    <mergeCell ref="I53:K53"/>
    <mergeCell ref="I54:K54"/>
    <mergeCell ref="A1:A2"/>
    <mergeCell ref="B1:B2"/>
    <mergeCell ref="C1:E1"/>
    <mergeCell ref="F1:H1"/>
    <mergeCell ref="I1:K1"/>
  </mergeCells>
  <conditionalFormatting sqref="L1:L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6:L1048576 L3:L51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6:M1048576 M3:M51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O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5:O5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6:O1048576 N3:O5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A255-073B-4E6D-8934-ED3955FD78FA}">
  <dimension ref="A1:T55"/>
  <sheetViews>
    <sheetView topLeftCell="P16" zoomScale="70" zoomScaleNormal="70" workbookViewId="0">
      <selection activeCell="W38" sqref="W38"/>
    </sheetView>
  </sheetViews>
  <sheetFormatPr baseColWidth="10" defaultRowHeight="15"/>
  <cols>
    <col min="1" max="1" width="8.140625" style="5" customWidth="1"/>
    <col min="2" max="2" width="45.7109375" style="5" bestFit="1" customWidth="1"/>
    <col min="3" max="3" width="40.140625" style="22" bestFit="1" customWidth="1"/>
    <col min="4" max="4" width="12.140625" style="25" bestFit="1" customWidth="1"/>
    <col min="5" max="5" width="12" style="25" bestFit="1" customWidth="1"/>
    <col min="6" max="6" width="40.5703125" style="22" bestFit="1" customWidth="1"/>
    <col min="7" max="7" width="12.42578125" style="25" bestFit="1" customWidth="1"/>
    <col min="8" max="8" width="12.140625" style="25" bestFit="1" customWidth="1"/>
    <col min="9" max="9" width="40.5703125" style="22" bestFit="1" customWidth="1"/>
    <col min="10" max="10" width="12.42578125" style="25" bestFit="1" customWidth="1"/>
    <col min="11" max="11" width="12.140625" style="25" bestFit="1" customWidth="1"/>
    <col min="12" max="12" width="40.5703125" style="22" bestFit="1" customWidth="1"/>
    <col min="13" max="13" width="13" style="25" bestFit="1" customWidth="1"/>
    <col min="14" max="14" width="12.85546875" style="25" bestFit="1" customWidth="1"/>
    <col min="15" max="16" width="14.42578125" style="6" bestFit="1" customWidth="1"/>
    <col min="17" max="17" width="15" style="6" bestFit="1" customWidth="1"/>
    <col min="18" max="19" width="16.42578125" style="49" bestFit="1" customWidth="1"/>
    <col min="20" max="20" width="17.140625" style="49" bestFit="1" customWidth="1"/>
    <col min="21" max="16384" width="11.42578125" style="5"/>
  </cols>
  <sheetData>
    <row r="1" spans="1:20" ht="15.75" customHeight="1">
      <c r="A1" s="84" t="s">
        <v>176</v>
      </c>
      <c r="B1" s="84" t="s">
        <v>0</v>
      </c>
      <c r="C1" s="85" t="s">
        <v>177</v>
      </c>
      <c r="D1" s="101"/>
      <c r="E1" s="101"/>
      <c r="F1" s="86" t="s">
        <v>377</v>
      </c>
      <c r="G1" s="102"/>
      <c r="H1" s="102"/>
      <c r="I1" s="87" t="s">
        <v>525</v>
      </c>
      <c r="J1" s="103"/>
      <c r="K1" s="103"/>
      <c r="L1" s="88" t="s">
        <v>575</v>
      </c>
      <c r="M1" s="104"/>
      <c r="N1" s="105"/>
      <c r="O1" s="91" t="s">
        <v>210</v>
      </c>
      <c r="P1" s="92"/>
      <c r="Q1" s="92"/>
      <c r="R1" s="97"/>
      <c r="S1" s="97"/>
      <c r="T1" s="106"/>
    </row>
    <row r="2" spans="1:20" ht="31.5">
      <c r="A2" s="84"/>
      <c r="B2" s="84"/>
      <c r="C2" s="32" t="s">
        <v>1</v>
      </c>
      <c r="D2" s="23" t="s">
        <v>373</v>
      </c>
      <c r="E2" s="23" t="s">
        <v>375</v>
      </c>
      <c r="F2" s="33" t="s">
        <v>1</v>
      </c>
      <c r="G2" s="42" t="s">
        <v>374</v>
      </c>
      <c r="H2" s="42" t="s">
        <v>376</v>
      </c>
      <c r="I2" s="34" t="s">
        <v>1</v>
      </c>
      <c r="J2" s="43" t="s">
        <v>526</v>
      </c>
      <c r="K2" s="43" t="s">
        <v>527</v>
      </c>
      <c r="L2" s="35" t="s">
        <v>1</v>
      </c>
      <c r="M2" s="44" t="s">
        <v>576</v>
      </c>
      <c r="N2" s="44" t="s">
        <v>577</v>
      </c>
      <c r="O2" s="11" t="s">
        <v>211</v>
      </c>
      <c r="P2" s="10" t="s">
        <v>528</v>
      </c>
      <c r="Q2" s="36" t="s">
        <v>578</v>
      </c>
      <c r="R2" s="23" t="s">
        <v>290</v>
      </c>
      <c r="S2" s="43" t="s">
        <v>529</v>
      </c>
      <c r="T2" s="44" t="s">
        <v>579</v>
      </c>
    </row>
    <row r="3" spans="1:20" ht="45">
      <c r="A3" s="7">
        <v>1</v>
      </c>
      <c r="B3" s="8" t="s">
        <v>3</v>
      </c>
      <c r="C3" s="21" t="s">
        <v>129</v>
      </c>
      <c r="D3" s="24">
        <v>0</v>
      </c>
      <c r="E3" s="24">
        <v>38.96</v>
      </c>
      <c r="F3" s="21" t="s">
        <v>489</v>
      </c>
      <c r="G3" s="24">
        <v>0</v>
      </c>
      <c r="H3" s="24">
        <v>8.27</v>
      </c>
      <c r="I3" s="21" t="s">
        <v>489</v>
      </c>
      <c r="J3" s="24">
        <v>0</v>
      </c>
      <c r="K3" s="24">
        <v>15.53</v>
      </c>
      <c r="L3" s="21" t="s">
        <v>489</v>
      </c>
      <c r="M3" s="24">
        <v>0</v>
      </c>
      <c r="N3" s="24">
        <v>7.5</v>
      </c>
      <c r="O3" s="9">
        <f>ABS(D3-G3)/IF(D3=0,1,D3)</f>
        <v>0</v>
      </c>
      <c r="P3" s="9">
        <f>ABS(D3-J3)/IF(D3=0,1,D3)</f>
        <v>0</v>
      </c>
      <c r="Q3" s="9">
        <f>ABS(D3-M3)/IF(D3=0,1,D3)</f>
        <v>0</v>
      </c>
      <c r="R3" s="48">
        <f>ROUND(IF(E3&lt;H3, -(H3/IF(E3=0,1,E3)), IF(E3=0,1,E3)/IF(H3=0,1,H3)), 2)</f>
        <v>4.71</v>
      </c>
      <c r="S3" s="48">
        <f>ROUND(IF(H3&lt;K3, -(K3/IF(H3=0,1,H3)), IF(H3=0,1,H3)/IF(K3=0,1,K3)), 2)</f>
        <v>-1.88</v>
      </c>
      <c r="T3" s="48">
        <f>ROUND(IF(H3&lt;N3, -(N3/IF(H3=0,1,H3)), IF(H3=0,1,H3)/IF(N3=0,1,N3)), 2)</f>
        <v>1.1000000000000001</v>
      </c>
    </row>
    <row r="4" spans="1:20" ht="45">
      <c r="A4" s="7">
        <v>2</v>
      </c>
      <c r="B4" s="8" t="s">
        <v>4</v>
      </c>
      <c r="C4" s="21" t="s">
        <v>130</v>
      </c>
      <c r="D4" s="24">
        <v>0</v>
      </c>
      <c r="E4" s="24">
        <v>40.94</v>
      </c>
      <c r="F4" s="21" t="s">
        <v>581</v>
      </c>
      <c r="G4" s="24">
        <v>0.03</v>
      </c>
      <c r="H4" s="24">
        <v>3.57</v>
      </c>
      <c r="I4" s="21" t="s">
        <v>581</v>
      </c>
      <c r="J4" s="24">
        <v>0.03</v>
      </c>
      <c r="K4" s="24">
        <v>13.32</v>
      </c>
      <c r="L4" s="21" t="s">
        <v>581</v>
      </c>
      <c r="M4" s="24">
        <v>0.03</v>
      </c>
      <c r="N4" s="24">
        <v>5.08</v>
      </c>
      <c r="O4" s="9">
        <f t="shared" ref="O4:O51" si="0">ABS(D4-G4)/IF(D4=0,1,D4)</f>
        <v>0.03</v>
      </c>
      <c r="P4" s="9">
        <f t="shared" ref="P4:P51" si="1">ABS(D4-J4)/IF(D4=0,1,D4)</f>
        <v>0.03</v>
      </c>
      <c r="Q4" s="9">
        <f t="shared" ref="Q4:Q51" si="2">ABS(D4-M4)/IF(D4=0,1,D4)</f>
        <v>0.03</v>
      </c>
      <c r="R4" s="48">
        <f t="shared" ref="R4:R50" si="3">ROUND(IF(E4&lt;H4, -(H4/IF(E4=0,1,E4)), IF(E4=0,1,E4)/IF(H4=0,1,H4)), 2)</f>
        <v>11.47</v>
      </c>
      <c r="S4" s="48">
        <f t="shared" ref="S4:S51" si="4">ROUND(IF(H4&lt;K4, -(K4/IF(H4=0,1,H4)), IF(H4=0,1,H4)/IF(K4=0,1,K4)), 2)</f>
        <v>-3.73</v>
      </c>
      <c r="T4" s="48">
        <f t="shared" ref="T4:T51" si="5">ROUND(IF(H4&lt;N4, -(N4/IF(H4=0,1,H4)), IF(H4=0,1,H4)/IF(N4=0,1,N4)), 2)</f>
        <v>-1.42</v>
      </c>
    </row>
    <row r="5" spans="1:20" ht="45">
      <c r="A5" s="7">
        <v>3</v>
      </c>
      <c r="B5" s="8" t="s">
        <v>5</v>
      </c>
      <c r="C5" s="21" t="s">
        <v>77</v>
      </c>
      <c r="D5" s="24">
        <v>0</v>
      </c>
      <c r="E5" s="24">
        <v>41.7</v>
      </c>
      <c r="F5" s="21" t="s">
        <v>490</v>
      </c>
      <c r="G5" s="24">
        <v>0</v>
      </c>
      <c r="H5" s="24">
        <v>5</v>
      </c>
      <c r="I5" s="21" t="s">
        <v>490</v>
      </c>
      <c r="J5" s="24">
        <v>0</v>
      </c>
      <c r="K5" s="24">
        <v>14.55</v>
      </c>
      <c r="L5" s="21" t="s">
        <v>490</v>
      </c>
      <c r="M5" s="24">
        <v>0</v>
      </c>
      <c r="N5" s="24">
        <v>6.85</v>
      </c>
      <c r="O5" s="9">
        <f t="shared" si="0"/>
        <v>0</v>
      </c>
      <c r="P5" s="9">
        <f t="shared" si="1"/>
        <v>0</v>
      </c>
      <c r="Q5" s="9">
        <f t="shared" si="2"/>
        <v>0</v>
      </c>
      <c r="R5" s="48">
        <f t="shared" si="3"/>
        <v>8.34</v>
      </c>
      <c r="S5" s="48">
        <f t="shared" si="4"/>
        <v>-2.91</v>
      </c>
      <c r="T5" s="48">
        <f t="shared" si="5"/>
        <v>-1.37</v>
      </c>
    </row>
    <row r="6" spans="1:20" ht="45">
      <c r="A6" s="7">
        <v>4</v>
      </c>
      <c r="B6" s="8" t="s">
        <v>6</v>
      </c>
      <c r="C6" s="21" t="s">
        <v>76</v>
      </c>
      <c r="D6" s="24">
        <v>0</v>
      </c>
      <c r="E6" s="24">
        <v>42.84</v>
      </c>
      <c r="F6" s="21" t="s">
        <v>582</v>
      </c>
      <c r="G6" s="24">
        <v>0.03</v>
      </c>
      <c r="H6" s="24">
        <v>1.84</v>
      </c>
      <c r="I6" s="21" t="s">
        <v>582</v>
      </c>
      <c r="J6" s="24">
        <v>0.03</v>
      </c>
      <c r="K6" s="24">
        <v>12.79</v>
      </c>
      <c r="L6" s="21" t="s">
        <v>582</v>
      </c>
      <c r="M6" s="24">
        <v>0.03</v>
      </c>
      <c r="N6" s="24">
        <v>4.63</v>
      </c>
      <c r="O6" s="9">
        <f t="shared" si="0"/>
        <v>0.03</v>
      </c>
      <c r="P6" s="9">
        <f t="shared" si="1"/>
        <v>0.03</v>
      </c>
      <c r="Q6" s="9">
        <f t="shared" si="2"/>
        <v>0.03</v>
      </c>
      <c r="R6" s="48">
        <f t="shared" si="3"/>
        <v>23.28</v>
      </c>
      <c r="S6" s="48">
        <f t="shared" si="4"/>
        <v>-6.95</v>
      </c>
      <c r="T6" s="48">
        <f t="shared" si="5"/>
        <v>-2.52</v>
      </c>
    </row>
    <row r="7" spans="1:20" ht="45">
      <c r="A7" s="7">
        <v>5</v>
      </c>
      <c r="B7" s="8" t="s">
        <v>7</v>
      </c>
      <c r="C7" s="21" t="s">
        <v>14</v>
      </c>
      <c r="D7" s="55"/>
      <c r="E7" s="24"/>
      <c r="F7" s="21" t="s">
        <v>583</v>
      </c>
      <c r="G7" s="24">
        <v>0</v>
      </c>
      <c r="H7" s="24">
        <v>0.04</v>
      </c>
      <c r="I7" s="21" t="s">
        <v>583</v>
      </c>
      <c r="J7" s="24">
        <v>0</v>
      </c>
      <c r="K7" s="24">
        <v>12.15</v>
      </c>
      <c r="L7" s="21" t="s">
        <v>583</v>
      </c>
      <c r="M7" s="24">
        <v>0</v>
      </c>
      <c r="N7" s="24">
        <v>4.41</v>
      </c>
      <c r="O7" s="9">
        <f>ABS(D7-G7)/IF(D7=0,1,D7)</f>
        <v>0</v>
      </c>
      <c r="P7" s="9">
        <f t="shared" si="1"/>
        <v>0</v>
      </c>
      <c r="Q7" s="9">
        <f t="shared" si="2"/>
        <v>0</v>
      </c>
      <c r="R7" s="48">
        <f t="shared" si="3"/>
        <v>-0.04</v>
      </c>
      <c r="S7" s="48">
        <f t="shared" si="4"/>
        <v>-303.75</v>
      </c>
      <c r="T7" s="48">
        <f t="shared" si="5"/>
        <v>-110.25</v>
      </c>
    </row>
    <row r="8" spans="1:20" ht="45">
      <c r="A8" s="7">
        <v>6</v>
      </c>
      <c r="B8" s="8" t="s">
        <v>8</v>
      </c>
      <c r="C8" s="21" t="s">
        <v>14</v>
      </c>
      <c r="D8" s="24"/>
      <c r="E8" s="24"/>
      <c r="F8" s="21" t="s">
        <v>584</v>
      </c>
      <c r="G8" s="24">
        <v>0.01</v>
      </c>
      <c r="H8" s="24">
        <v>0.03</v>
      </c>
      <c r="I8" s="21" t="s">
        <v>584</v>
      </c>
      <c r="J8" s="24">
        <v>0.01</v>
      </c>
      <c r="K8" s="24">
        <v>12.69</v>
      </c>
      <c r="L8" s="21" t="s">
        <v>584</v>
      </c>
      <c r="M8" s="24">
        <v>0.01</v>
      </c>
      <c r="N8" s="24">
        <v>4.6100000000000003</v>
      </c>
      <c r="O8" s="9">
        <f t="shared" si="0"/>
        <v>0.01</v>
      </c>
      <c r="P8" s="9">
        <f t="shared" si="1"/>
        <v>0.01</v>
      </c>
      <c r="Q8" s="9">
        <f t="shared" si="2"/>
        <v>0.01</v>
      </c>
      <c r="R8" s="48">
        <f t="shared" si="3"/>
        <v>-0.03</v>
      </c>
      <c r="S8" s="48">
        <f t="shared" si="4"/>
        <v>-423</v>
      </c>
      <c r="T8" s="48">
        <f t="shared" si="5"/>
        <v>-153.66999999999999</v>
      </c>
    </row>
    <row r="9" spans="1:20" ht="45">
      <c r="A9" s="7">
        <v>7</v>
      </c>
      <c r="B9" s="8" t="s">
        <v>476</v>
      </c>
      <c r="C9" s="21" t="s">
        <v>14</v>
      </c>
      <c r="D9" s="24"/>
      <c r="E9" s="24"/>
      <c r="F9" s="21" t="s">
        <v>585</v>
      </c>
      <c r="G9" s="24">
        <v>0</v>
      </c>
      <c r="H9" s="24">
        <v>0.19</v>
      </c>
      <c r="I9" s="21" t="s">
        <v>585</v>
      </c>
      <c r="J9" s="24">
        <v>0</v>
      </c>
      <c r="K9" s="24">
        <v>12.46</v>
      </c>
      <c r="L9" s="21" t="s">
        <v>585</v>
      </c>
      <c r="M9" s="24">
        <v>0</v>
      </c>
      <c r="N9" s="24">
        <v>4.66</v>
      </c>
      <c r="O9" s="9">
        <f t="shared" si="0"/>
        <v>0</v>
      </c>
      <c r="P9" s="9">
        <f t="shared" si="1"/>
        <v>0</v>
      </c>
      <c r="Q9" s="9">
        <f t="shared" si="2"/>
        <v>0</v>
      </c>
      <c r="R9" s="48">
        <f t="shared" si="3"/>
        <v>-0.19</v>
      </c>
      <c r="S9" s="48">
        <f t="shared" si="4"/>
        <v>-65.58</v>
      </c>
      <c r="T9" s="48">
        <f t="shared" si="5"/>
        <v>-24.53</v>
      </c>
    </row>
    <row r="10" spans="1:20" ht="45">
      <c r="A10" s="7">
        <v>8</v>
      </c>
      <c r="B10" s="8" t="s">
        <v>9</v>
      </c>
      <c r="C10" s="21" t="s">
        <v>131</v>
      </c>
      <c r="D10" s="24">
        <v>0</v>
      </c>
      <c r="E10" s="24">
        <v>11.85</v>
      </c>
      <c r="F10" s="21" t="s">
        <v>491</v>
      </c>
      <c r="G10" s="24">
        <v>0</v>
      </c>
      <c r="H10" s="24">
        <v>7.59</v>
      </c>
      <c r="I10" s="21" t="s">
        <v>491</v>
      </c>
      <c r="J10" s="24">
        <v>0</v>
      </c>
      <c r="K10" s="24">
        <v>16.510000000000002</v>
      </c>
      <c r="L10" s="21" t="s">
        <v>491</v>
      </c>
      <c r="M10" s="24">
        <v>0</v>
      </c>
      <c r="N10" s="24">
        <v>6.64</v>
      </c>
      <c r="O10" s="9">
        <f t="shared" si="0"/>
        <v>0</v>
      </c>
      <c r="P10" s="9">
        <f t="shared" si="1"/>
        <v>0</v>
      </c>
      <c r="Q10" s="9">
        <f t="shared" si="2"/>
        <v>0</v>
      </c>
      <c r="R10" s="48">
        <f t="shared" si="3"/>
        <v>1.56</v>
      </c>
      <c r="S10" s="48">
        <f t="shared" si="4"/>
        <v>-2.1800000000000002</v>
      </c>
      <c r="T10" s="48">
        <f t="shared" si="5"/>
        <v>1.1399999999999999</v>
      </c>
    </row>
    <row r="11" spans="1:20" ht="45">
      <c r="A11" s="7">
        <v>9</v>
      </c>
      <c r="B11" s="8" t="s">
        <v>10</v>
      </c>
      <c r="C11" s="21" t="s">
        <v>132</v>
      </c>
      <c r="D11" s="24">
        <v>0</v>
      </c>
      <c r="E11" s="24">
        <v>12.2</v>
      </c>
      <c r="F11" s="21" t="s">
        <v>586</v>
      </c>
      <c r="G11" s="24">
        <v>0.03</v>
      </c>
      <c r="H11" s="24">
        <v>3.17</v>
      </c>
      <c r="I11" s="21" t="s">
        <v>586</v>
      </c>
      <c r="J11" s="24">
        <v>0.03</v>
      </c>
      <c r="K11" s="24">
        <v>13.2</v>
      </c>
      <c r="L11" s="21" t="s">
        <v>586</v>
      </c>
      <c r="M11" s="24">
        <v>0.03</v>
      </c>
      <c r="N11" s="24">
        <v>4.82</v>
      </c>
      <c r="O11" s="9">
        <f t="shared" si="0"/>
        <v>0.03</v>
      </c>
      <c r="P11" s="9">
        <f t="shared" si="1"/>
        <v>0.03</v>
      </c>
      <c r="Q11" s="9">
        <f t="shared" si="2"/>
        <v>0.03</v>
      </c>
      <c r="R11" s="48">
        <f t="shared" si="3"/>
        <v>3.85</v>
      </c>
      <c r="S11" s="48">
        <f t="shared" si="4"/>
        <v>-4.16</v>
      </c>
      <c r="T11" s="48">
        <f t="shared" si="5"/>
        <v>-1.52</v>
      </c>
    </row>
    <row r="12" spans="1:20" ht="45">
      <c r="A12" s="7">
        <v>10</v>
      </c>
      <c r="B12" s="8" t="s">
        <v>11</v>
      </c>
      <c r="C12" s="21" t="s">
        <v>133</v>
      </c>
      <c r="D12" s="24">
        <v>0</v>
      </c>
      <c r="E12" s="24">
        <v>12.44</v>
      </c>
      <c r="F12" s="21" t="s">
        <v>492</v>
      </c>
      <c r="G12" s="24">
        <v>0</v>
      </c>
      <c r="H12" s="24">
        <v>4.4000000000000004</v>
      </c>
      <c r="I12" s="21" t="s">
        <v>492</v>
      </c>
      <c r="J12" s="24">
        <v>0</v>
      </c>
      <c r="K12" s="24">
        <v>14.34</v>
      </c>
      <c r="L12" s="21" t="s">
        <v>492</v>
      </c>
      <c r="M12" s="24">
        <v>0</v>
      </c>
      <c r="N12" s="24">
        <v>6.68</v>
      </c>
      <c r="O12" s="9">
        <f t="shared" si="0"/>
        <v>0</v>
      </c>
      <c r="P12" s="9">
        <f t="shared" si="1"/>
        <v>0</v>
      </c>
      <c r="Q12" s="9">
        <f t="shared" si="2"/>
        <v>0</v>
      </c>
      <c r="R12" s="48">
        <f t="shared" si="3"/>
        <v>2.83</v>
      </c>
      <c r="S12" s="48">
        <f t="shared" si="4"/>
        <v>-3.26</v>
      </c>
      <c r="T12" s="48">
        <f t="shared" si="5"/>
        <v>-1.52</v>
      </c>
    </row>
    <row r="13" spans="1:20" ht="45">
      <c r="A13" s="7">
        <v>11</v>
      </c>
      <c r="B13" s="8" t="s">
        <v>12</v>
      </c>
      <c r="C13" s="21" t="s">
        <v>134</v>
      </c>
      <c r="D13" s="24">
        <v>0</v>
      </c>
      <c r="E13" s="24">
        <v>11.97</v>
      </c>
      <c r="F13" s="21" t="s">
        <v>587</v>
      </c>
      <c r="G13" s="24">
        <v>0.03</v>
      </c>
      <c r="H13" s="24">
        <v>1.39</v>
      </c>
      <c r="I13" s="21" t="s">
        <v>587</v>
      </c>
      <c r="J13" s="24">
        <v>0.03</v>
      </c>
      <c r="K13" s="24">
        <v>12.98</v>
      </c>
      <c r="L13" s="21" t="s">
        <v>587</v>
      </c>
      <c r="M13" s="24">
        <v>0.03</v>
      </c>
      <c r="N13" s="24">
        <v>4.5999999999999996</v>
      </c>
      <c r="O13" s="9">
        <f t="shared" si="0"/>
        <v>0.03</v>
      </c>
      <c r="P13" s="9">
        <f t="shared" si="1"/>
        <v>0.03</v>
      </c>
      <c r="Q13" s="9">
        <f t="shared" si="2"/>
        <v>0.03</v>
      </c>
      <c r="R13" s="48">
        <f t="shared" si="3"/>
        <v>8.61</v>
      </c>
      <c r="S13" s="48">
        <f t="shared" si="4"/>
        <v>-9.34</v>
      </c>
      <c r="T13" s="48">
        <f t="shared" si="5"/>
        <v>-3.31</v>
      </c>
    </row>
    <row r="14" spans="1:20" ht="45">
      <c r="A14" s="7">
        <v>12</v>
      </c>
      <c r="B14" s="8" t="s">
        <v>13</v>
      </c>
      <c r="C14" s="21" t="s">
        <v>14</v>
      </c>
      <c r="D14" s="24"/>
      <c r="E14" s="24"/>
      <c r="F14" s="21" t="s">
        <v>588</v>
      </c>
      <c r="G14" s="24">
        <v>0</v>
      </c>
      <c r="H14" s="24">
        <v>0.03</v>
      </c>
      <c r="I14" s="21" t="s">
        <v>588</v>
      </c>
      <c r="J14" s="24">
        <v>0</v>
      </c>
      <c r="K14" s="24">
        <v>13.74</v>
      </c>
      <c r="L14" s="21" t="s">
        <v>588</v>
      </c>
      <c r="M14" s="24">
        <v>0</v>
      </c>
      <c r="N14" s="24">
        <v>4.4400000000000004</v>
      </c>
      <c r="O14" s="9">
        <f t="shared" si="0"/>
        <v>0</v>
      </c>
      <c r="P14" s="9">
        <f t="shared" si="1"/>
        <v>0</v>
      </c>
      <c r="Q14" s="9">
        <f t="shared" si="2"/>
        <v>0</v>
      </c>
      <c r="R14" s="48">
        <f t="shared" si="3"/>
        <v>-0.03</v>
      </c>
      <c r="S14" s="48">
        <f t="shared" si="4"/>
        <v>-458</v>
      </c>
      <c r="T14" s="48">
        <f t="shared" si="5"/>
        <v>-148</v>
      </c>
    </row>
    <row r="15" spans="1:20" ht="45">
      <c r="A15" s="7">
        <v>13</v>
      </c>
      <c r="B15" s="8" t="s">
        <v>15</v>
      </c>
      <c r="C15" s="21" t="s">
        <v>14</v>
      </c>
      <c r="D15" s="24"/>
      <c r="E15" s="24"/>
      <c r="F15" s="21" t="s">
        <v>589</v>
      </c>
      <c r="G15" s="24">
        <v>0.01</v>
      </c>
      <c r="H15" s="24">
        <v>0.03</v>
      </c>
      <c r="I15" s="21" t="s">
        <v>589</v>
      </c>
      <c r="J15" s="24">
        <v>0.01</v>
      </c>
      <c r="K15" s="24">
        <v>13.56</v>
      </c>
      <c r="L15" s="21" t="s">
        <v>589</v>
      </c>
      <c r="M15" s="24">
        <v>0.01</v>
      </c>
      <c r="N15" s="24">
        <v>4.5</v>
      </c>
      <c r="O15" s="9">
        <f t="shared" si="0"/>
        <v>0.01</v>
      </c>
      <c r="P15" s="9">
        <f t="shared" si="1"/>
        <v>0.01</v>
      </c>
      <c r="Q15" s="9">
        <f t="shared" si="2"/>
        <v>0.01</v>
      </c>
      <c r="R15" s="48">
        <f t="shared" si="3"/>
        <v>-0.03</v>
      </c>
      <c r="S15" s="48">
        <f t="shared" si="4"/>
        <v>-452</v>
      </c>
      <c r="T15" s="48">
        <f t="shared" si="5"/>
        <v>-150</v>
      </c>
    </row>
    <row r="16" spans="1:20" ht="45">
      <c r="A16" s="7">
        <v>14</v>
      </c>
      <c r="B16" s="8" t="s">
        <v>477</v>
      </c>
      <c r="C16" s="21" t="s">
        <v>14</v>
      </c>
      <c r="D16" s="24"/>
      <c r="E16" s="24"/>
      <c r="F16" s="21" t="s">
        <v>590</v>
      </c>
      <c r="G16" s="24">
        <v>0</v>
      </c>
      <c r="H16" s="24">
        <v>0.14000000000000001</v>
      </c>
      <c r="I16" s="21" t="s">
        <v>590</v>
      </c>
      <c r="J16" s="24">
        <v>0</v>
      </c>
      <c r="K16" s="24">
        <v>12.52</v>
      </c>
      <c r="L16" s="21" t="s">
        <v>590</v>
      </c>
      <c r="M16" s="24">
        <v>0</v>
      </c>
      <c r="N16" s="24">
        <v>4.26</v>
      </c>
      <c r="O16" s="9">
        <f t="shared" si="0"/>
        <v>0</v>
      </c>
      <c r="P16" s="9">
        <f t="shared" si="1"/>
        <v>0</v>
      </c>
      <c r="Q16" s="9">
        <f t="shared" si="2"/>
        <v>0</v>
      </c>
      <c r="R16" s="48">
        <f t="shared" si="3"/>
        <v>-0.14000000000000001</v>
      </c>
      <c r="S16" s="48">
        <f t="shared" si="4"/>
        <v>-89.43</v>
      </c>
      <c r="T16" s="48">
        <f t="shared" si="5"/>
        <v>-30.43</v>
      </c>
    </row>
    <row r="17" spans="1:20" ht="45">
      <c r="A17" s="7">
        <v>15</v>
      </c>
      <c r="B17" s="8" t="s">
        <v>16</v>
      </c>
      <c r="C17" s="21" t="s">
        <v>135</v>
      </c>
      <c r="D17" s="24">
        <v>0</v>
      </c>
      <c r="E17" s="24">
        <v>11.79</v>
      </c>
      <c r="F17" s="21" t="s">
        <v>493</v>
      </c>
      <c r="G17" s="24">
        <v>0</v>
      </c>
      <c r="H17" s="24">
        <v>7.38</v>
      </c>
      <c r="I17" s="21" t="s">
        <v>493</v>
      </c>
      <c r="J17" s="24">
        <v>0</v>
      </c>
      <c r="K17" s="24">
        <v>18.71</v>
      </c>
      <c r="L17" s="21" t="s">
        <v>493</v>
      </c>
      <c r="M17" s="24">
        <v>0</v>
      </c>
      <c r="N17" s="24">
        <v>6.6</v>
      </c>
      <c r="O17" s="9">
        <f t="shared" si="0"/>
        <v>0</v>
      </c>
      <c r="P17" s="9">
        <f t="shared" si="1"/>
        <v>0</v>
      </c>
      <c r="Q17" s="9">
        <f t="shared" si="2"/>
        <v>0</v>
      </c>
      <c r="R17" s="48">
        <f t="shared" si="3"/>
        <v>1.6</v>
      </c>
      <c r="S17" s="48">
        <f t="shared" si="4"/>
        <v>-2.54</v>
      </c>
      <c r="T17" s="48">
        <f t="shared" si="5"/>
        <v>1.1200000000000001</v>
      </c>
    </row>
    <row r="18" spans="1:20" ht="45">
      <c r="A18" s="7">
        <v>16</v>
      </c>
      <c r="B18" s="8" t="s">
        <v>17</v>
      </c>
      <c r="C18" s="21" t="s">
        <v>136</v>
      </c>
      <c r="D18" s="24">
        <v>0</v>
      </c>
      <c r="E18" s="24">
        <v>11.98</v>
      </c>
      <c r="F18" s="21" t="s">
        <v>591</v>
      </c>
      <c r="G18" s="24">
        <v>0.03</v>
      </c>
      <c r="H18" s="24">
        <v>3.08</v>
      </c>
      <c r="I18" s="21" t="s">
        <v>591</v>
      </c>
      <c r="J18" s="24">
        <v>0.03</v>
      </c>
      <c r="K18" s="24">
        <v>15.78</v>
      </c>
      <c r="L18" s="21" t="s">
        <v>591</v>
      </c>
      <c r="M18" s="24">
        <v>0.03</v>
      </c>
      <c r="N18" s="24">
        <v>4.76</v>
      </c>
      <c r="O18" s="9">
        <f t="shared" si="0"/>
        <v>0.03</v>
      </c>
      <c r="P18" s="9">
        <f t="shared" si="1"/>
        <v>0.03</v>
      </c>
      <c r="Q18" s="9">
        <f t="shared" si="2"/>
        <v>0.03</v>
      </c>
      <c r="R18" s="48">
        <f t="shared" si="3"/>
        <v>3.89</v>
      </c>
      <c r="S18" s="48">
        <f t="shared" si="4"/>
        <v>-5.12</v>
      </c>
      <c r="T18" s="48">
        <f t="shared" si="5"/>
        <v>-1.55</v>
      </c>
    </row>
    <row r="19" spans="1:20" ht="45">
      <c r="A19" s="7">
        <v>17</v>
      </c>
      <c r="B19" s="8" t="s">
        <v>18</v>
      </c>
      <c r="C19" s="21" t="s">
        <v>137</v>
      </c>
      <c r="D19" s="24">
        <v>0</v>
      </c>
      <c r="E19" s="24">
        <v>12.71</v>
      </c>
      <c r="F19" s="21" t="s">
        <v>494</v>
      </c>
      <c r="G19" s="24">
        <v>0</v>
      </c>
      <c r="H19" s="24">
        <v>4.43</v>
      </c>
      <c r="I19" s="21" t="s">
        <v>494</v>
      </c>
      <c r="J19" s="24">
        <v>0</v>
      </c>
      <c r="K19" s="24">
        <v>14.96</v>
      </c>
      <c r="L19" s="21" t="s">
        <v>494</v>
      </c>
      <c r="M19" s="24">
        <v>0</v>
      </c>
      <c r="N19" s="24">
        <v>6.57</v>
      </c>
      <c r="O19" s="9">
        <f t="shared" si="0"/>
        <v>0</v>
      </c>
      <c r="P19" s="9">
        <f t="shared" si="1"/>
        <v>0</v>
      </c>
      <c r="Q19" s="9">
        <f t="shared" si="2"/>
        <v>0</v>
      </c>
      <c r="R19" s="48">
        <f t="shared" si="3"/>
        <v>2.87</v>
      </c>
      <c r="S19" s="48">
        <f t="shared" si="4"/>
        <v>-3.38</v>
      </c>
      <c r="T19" s="48">
        <f t="shared" si="5"/>
        <v>-1.48</v>
      </c>
    </row>
    <row r="20" spans="1:20" ht="45">
      <c r="A20" s="7">
        <v>18</v>
      </c>
      <c r="B20" s="8" t="s">
        <v>19</v>
      </c>
      <c r="C20" s="21" t="s">
        <v>138</v>
      </c>
      <c r="D20" s="24">
        <v>0</v>
      </c>
      <c r="E20" s="24">
        <v>13.47</v>
      </c>
      <c r="F20" s="21" t="s">
        <v>592</v>
      </c>
      <c r="G20" s="24">
        <v>0.03</v>
      </c>
      <c r="H20" s="24">
        <v>1.42</v>
      </c>
      <c r="I20" s="21" t="s">
        <v>592</v>
      </c>
      <c r="J20" s="24">
        <v>0.03</v>
      </c>
      <c r="K20" s="24">
        <v>13.14</v>
      </c>
      <c r="L20" s="21" t="s">
        <v>592</v>
      </c>
      <c r="M20" s="24">
        <v>0.03</v>
      </c>
      <c r="N20" s="24">
        <v>4.51</v>
      </c>
      <c r="O20" s="9">
        <f t="shared" si="0"/>
        <v>0.03</v>
      </c>
      <c r="P20" s="9">
        <f t="shared" si="1"/>
        <v>0.03</v>
      </c>
      <c r="Q20" s="9">
        <f t="shared" si="2"/>
        <v>0.03</v>
      </c>
      <c r="R20" s="48">
        <f t="shared" si="3"/>
        <v>9.49</v>
      </c>
      <c r="S20" s="48">
        <f t="shared" si="4"/>
        <v>-9.25</v>
      </c>
      <c r="T20" s="48">
        <f t="shared" si="5"/>
        <v>-3.18</v>
      </c>
    </row>
    <row r="21" spans="1:20" ht="45">
      <c r="A21" s="7">
        <v>19</v>
      </c>
      <c r="B21" s="8" t="s">
        <v>20</v>
      </c>
      <c r="C21" s="21" t="s">
        <v>14</v>
      </c>
      <c r="D21" s="24"/>
      <c r="E21" s="24"/>
      <c r="F21" s="21" t="s">
        <v>593</v>
      </c>
      <c r="G21" s="24">
        <v>0</v>
      </c>
      <c r="H21" s="24">
        <v>0.04</v>
      </c>
      <c r="I21" s="21" t="s">
        <v>593</v>
      </c>
      <c r="J21" s="24">
        <v>0</v>
      </c>
      <c r="K21" s="24">
        <v>12.93</v>
      </c>
      <c r="L21" s="21" t="s">
        <v>593</v>
      </c>
      <c r="M21" s="24">
        <v>0</v>
      </c>
      <c r="N21" s="24">
        <v>4.58</v>
      </c>
      <c r="O21" s="9">
        <f t="shared" si="0"/>
        <v>0</v>
      </c>
      <c r="P21" s="9">
        <f t="shared" si="1"/>
        <v>0</v>
      </c>
      <c r="Q21" s="9">
        <f t="shared" si="2"/>
        <v>0</v>
      </c>
      <c r="R21" s="48">
        <f t="shared" si="3"/>
        <v>-0.04</v>
      </c>
      <c r="S21" s="48">
        <f t="shared" si="4"/>
        <v>-323.25</v>
      </c>
      <c r="T21" s="48">
        <f t="shared" si="5"/>
        <v>-114.5</v>
      </c>
    </row>
    <row r="22" spans="1:20" ht="45">
      <c r="A22" s="7">
        <v>20</v>
      </c>
      <c r="B22" s="8" t="s">
        <v>21</v>
      </c>
      <c r="C22" s="21" t="s">
        <v>14</v>
      </c>
      <c r="D22" s="24"/>
      <c r="E22" s="24"/>
      <c r="F22" s="21" t="s">
        <v>594</v>
      </c>
      <c r="G22" s="24">
        <v>0.01</v>
      </c>
      <c r="H22" s="24">
        <v>0.03</v>
      </c>
      <c r="I22" s="21" t="s">
        <v>594</v>
      </c>
      <c r="J22" s="24">
        <v>0.01</v>
      </c>
      <c r="K22" s="24">
        <v>12.19</v>
      </c>
      <c r="L22" s="21" t="s">
        <v>594</v>
      </c>
      <c r="M22" s="24">
        <v>0.01</v>
      </c>
      <c r="N22" s="24">
        <v>4.32</v>
      </c>
      <c r="O22" s="9">
        <f t="shared" si="0"/>
        <v>0.01</v>
      </c>
      <c r="P22" s="9">
        <f t="shared" si="1"/>
        <v>0.01</v>
      </c>
      <c r="Q22" s="9">
        <f t="shared" si="2"/>
        <v>0.01</v>
      </c>
      <c r="R22" s="48">
        <f t="shared" si="3"/>
        <v>-0.03</v>
      </c>
      <c r="S22" s="48">
        <f t="shared" si="4"/>
        <v>-406.33</v>
      </c>
      <c r="T22" s="48">
        <f t="shared" si="5"/>
        <v>-144</v>
      </c>
    </row>
    <row r="23" spans="1:20" ht="45">
      <c r="A23" s="7">
        <v>21</v>
      </c>
      <c r="B23" s="8" t="s">
        <v>478</v>
      </c>
      <c r="C23" s="21" t="s">
        <v>14</v>
      </c>
      <c r="D23" s="24"/>
      <c r="E23" s="24"/>
      <c r="F23" s="21" t="s">
        <v>595</v>
      </c>
      <c r="G23" s="24">
        <v>0</v>
      </c>
      <c r="H23" s="24">
        <v>0.14000000000000001</v>
      </c>
      <c r="I23" s="21" t="s">
        <v>595</v>
      </c>
      <c r="J23" s="24">
        <v>0</v>
      </c>
      <c r="K23" s="24">
        <v>11.03</v>
      </c>
      <c r="L23" s="21" t="s">
        <v>595</v>
      </c>
      <c r="M23" s="24">
        <v>0</v>
      </c>
      <c r="N23" s="24">
        <v>4.62</v>
      </c>
      <c r="O23" s="9">
        <f t="shared" si="0"/>
        <v>0</v>
      </c>
      <c r="P23" s="9">
        <f t="shared" si="1"/>
        <v>0</v>
      </c>
      <c r="Q23" s="9">
        <f t="shared" si="2"/>
        <v>0</v>
      </c>
      <c r="R23" s="48">
        <f t="shared" si="3"/>
        <v>-0.14000000000000001</v>
      </c>
      <c r="S23" s="48">
        <f t="shared" si="4"/>
        <v>-78.790000000000006</v>
      </c>
      <c r="T23" s="48">
        <f t="shared" si="5"/>
        <v>-33</v>
      </c>
    </row>
    <row r="24" spans="1:20" ht="45">
      <c r="A24" s="7">
        <v>22</v>
      </c>
      <c r="B24" s="8" t="s">
        <v>22</v>
      </c>
      <c r="C24" s="21" t="s">
        <v>139</v>
      </c>
      <c r="D24" s="24">
        <v>0</v>
      </c>
      <c r="E24" s="24">
        <v>4.6500000000000004</v>
      </c>
      <c r="F24" s="21" t="s">
        <v>495</v>
      </c>
      <c r="G24" s="24">
        <v>0</v>
      </c>
      <c r="H24" s="24">
        <v>7.05</v>
      </c>
      <c r="I24" s="21" t="s">
        <v>495</v>
      </c>
      <c r="J24" s="24">
        <v>0</v>
      </c>
      <c r="K24" s="24">
        <v>14.99</v>
      </c>
      <c r="L24" s="21" t="s">
        <v>495</v>
      </c>
      <c r="M24" s="24">
        <v>0</v>
      </c>
      <c r="N24" s="24">
        <v>6.31</v>
      </c>
      <c r="O24" s="9">
        <f t="shared" si="0"/>
        <v>0</v>
      </c>
      <c r="P24" s="9">
        <f t="shared" si="1"/>
        <v>0</v>
      </c>
      <c r="Q24" s="9">
        <f t="shared" si="2"/>
        <v>0</v>
      </c>
      <c r="R24" s="48">
        <f t="shared" si="3"/>
        <v>-1.52</v>
      </c>
      <c r="S24" s="48">
        <f t="shared" si="4"/>
        <v>-2.13</v>
      </c>
      <c r="T24" s="48">
        <f t="shared" si="5"/>
        <v>1.1200000000000001</v>
      </c>
    </row>
    <row r="25" spans="1:20" ht="45">
      <c r="A25" s="7">
        <v>23</v>
      </c>
      <c r="B25" s="8" t="s">
        <v>23</v>
      </c>
      <c r="C25" s="21" t="s">
        <v>140</v>
      </c>
      <c r="D25" s="24">
        <v>0</v>
      </c>
      <c r="E25" s="24">
        <v>4.62</v>
      </c>
      <c r="F25" s="21" t="s">
        <v>596</v>
      </c>
      <c r="G25" s="24">
        <v>0.03</v>
      </c>
      <c r="H25" s="24">
        <v>2.82</v>
      </c>
      <c r="I25" s="21" t="s">
        <v>596</v>
      </c>
      <c r="J25" s="24">
        <v>0.03</v>
      </c>
      <c r="K25" s="24">
        <v>13.35</v>
      </c>
      <c r="L25" s="21" t="s">
        <v>596</v>
      </c>
      <c r="M25" s="24">
        <v>0.03</v>
      </c>
      <c r="N25" s="24">
        <v>4.6399999999999997</v>
      </c>
      <c r="O25" s="9">
        <f t="shared" si="0"/>
        <v>0.03</v>
      </c>
      <c r="P25" s="9">
        <f t="shared" si="1"/>
        <v>0.03</v>
      </c>
      <c r="Q25" s="9">
        <f t="shared" si="2"/>
        <v>0.03</v>
      </c>
      <c r="R25" s="48">
        <f t="shared" si="3"/>
        <v>1.64</v>
      </c>
      <c r="S25" s="48">
        <f t="shared" si="4"/>
        <v>-4.7300000000000004</v>
      </c>
      <c r="T25" s="48">
        <f t="shared" si="5"/>
        <v>-1.65</v>
      </c>
    </row>
    <row r="26" spans="1:20" ht="45">
      <c r="A26" s="7">
        <v>24</v>
      </c>
      <c r="B26" s="8" t="s">
        <v>24</v>
      </c>
      <c r="C26" s="21" t="s">
        <v>141</v>
      </c>
      <c r="D26" s="24">
        <v>0</v>
      </c>
      <c r="E26" s="24">
        <v>4.7300000000000004</v>
      </c>
      <c r="F26" s="21" t="s">
        <v>496</v>
      </c>
      <c r="G26" s="24">
        <v>0</v>
      </c>
      <c r="H26" s="24">
        <v>3.92</v>
      </c>
      <c r="I26" s="21" t="s">
        <v>496</v>
      </c>
      <c r="J26" s="24">
        <v>0</v>
      </c>
      <c r="K26" s="24">
        <v>13.11</v>
      </c>
      <c r="L26" s="21" t="s">
        <v>496</v>
      </c>
      <c r="M26" s="24">
        <v>0</v>
      </c>
      <c r="N26" s="24">
        <v>6.26</v>
      </c>
      <c r="O26" s="9">
        <f t="shared" si="0"/>
        <v>0</v>
      </c>
      <c r="P26" s="9">
        <f t="shared" si="1"/>
        <v>0</v>
      </c>
      <c r="Q26" s="9">
        <f t="shared" si="2"/>
        <v>0</v>
      </c>
      <c r="R26" s="48">
        <f t="shared" si="3"/>
        <v>1.21</v>
      </c>
      <c r="S26" s="48">
        <f t="shared" si="4"/>
        <v>-3.34</v>
      </c>
      <c r="T26" s="48">
        <f t="shared" si="5"/>
        <v>-1.6</v>
      </c>
    </row>
    <row r="27" spans="1:20" ht="45">
      <c r="A27" s="7">
        <v>25</v>
      </c>
      <c r="B27" s="8" t="s">
        <v>25</v>
      </c>
      <c r="C27" s="21" t="s">
        <v>142</v>
      </c>
      <c r="D27" s="24">
        <v>0</v>
      </c>
      <c r="E27" s="24">
        <v>4.67</v>
      </c>
      <c r="F27" s="21" t="s">
        <v>597</v>
      </c>
      <c r="G27" s="24">
        <v>0.03</v>
      </c>
      <c r="H27" s="24">
        <v>1.29</v>
      </c>
      <c r="I27" s="21" t="s">
        <v>597</v>
      </c>
      <c r="J27" s="24">
        <v>0.03</v>
      </c>
      <c r="K27" s="24">
        <v>11.42</v>
      </c>
      <c r="L27" s="21" t="s">
        <v>597</v>
      </c>
      <c r="M27" s="24">
        <v>0.03</v>
      </c>
      <c r="N27" s="24">
        <v>4.67</v>
      </c>
      <c r="O27" s="9">
        <f t="shared" si="0"/>
        <v>0.03</v>
      </c>
      <c r="P27" s="9">
        <f t="shared" si="1"/>
        <v>0.03</v>
      </c>
      <c r="Q27" s="9">
        <f t="shared" si="2"/>
        <v>0.03</v>
      </c>
      <c r="R27" s="48">
        <f t="shared" si="3"/>
        <v>3.62</v>
      </c>
      <c r="S27" s="48">
        <f t="shared" si="4"/>
        <v>-8.85</v>
      </c>
      <c r="T27" s="48">
        <f t="shared" si="5"/>
        <v>-3.62</v>
      </c>
    </row>
    <row r="28" spans="1:20" ht="45">
      <c r="A28" s="7">
        <v>26</v>
      </c>
      <c r="B28" s="8" t="s">
        <v>26</v>
      </c>
      <c r="C28" s="21" t="s">
        <v>14</v>
      </c>
      <c r="D28" s="24"/>
      <c r="E28" s="24"/>
      <c r="F28" s="21" t="s">
        <v>598</v>
      </c>
      <c r="G28" s="24">
        <v>0</v>
      </c>
      <c r="H28" s="24">
        <v>0.03</v>
      </c>
      <c r="I28" s="21" t="s">
        <v>598</v>
      </c>
      <c r="J28" s="24">
        <v>0</v>
      </c>
      <c r="K28" s="24">
        <v>11.15</v>
      </c>
      <c r="L28" s="21" t="s">
        <v>598</v>
      </c>
      <c r="M28" s="24">
        <v>0</v>
      </c>
      <c r="N28" s="24">
        <v>4.34</v>
      </c>
      <c r="O28" s="9">
        <f t="shared" si="0"/>
        <v>0</v>
      </c>
      <c r="P28" s="9">
        <f t="shared" si="1"/>
        <v>0</v>
      </c>
      <c r="Q28" s="9">
        <f t="shared" si="2"/>
        <v>0</v>
      </c>
      <c r="R28" s="48">
        <f t="shared" si="3"/>
        <v>-0.03</v>
      </c>
      <c r="S28" s="48">
        <f t="shared" si="4"/>
        <v>-371.67</v>
      </c>
      <c r="T28" s="48">
        <f t="shared" si="5"/>
        <v>-144.66999999999999</v>
      </c>
    </row>
    <row r="29" spans="1:20" ht="45">
      <c r="A29" s="7">
        <v>27</v>
      </c>
      <c r="B29" s="8" t="s">
        <v>27</v>
      </c>
      <c r="C29" s="21" t="s">
        <v>14</v>
      </c>
      <c r="D29" s="24"/>
      <c r="E29" s="24"/>
      <c r="F29" s="21" t="s">
        <v>599</v>
      </c>
      <c r="G29" s="24">
        <v>0.01</v>
      </c>
      <c r="H29" s="24">
        <v>0.02</v>
      </c>
      <c r="I29" s="21" t="s">
        <v>599</v>
      </c>
      <c r="J29" s="24">
        <v>0.01</v>
      </c>
      <c r="K29" s="24">
        <v>11.06</v>
      </c>
      <c r="L29" s="21" t="s">
        <v>599</v>
      </c>
      <c r="M29" s="24">
        <v>0.01</v>
      </c>
      <c r="N29" s="24">
        <v>4.33</v>
      </c>
      <c r="O29" s="9">
        <f t="shared" si="0"/>
        <v>0.01</v>
      </c>
      <c r="P29" s="9">
        <f t="shared" si="1"/>
        <v>0.01</v>
      </c>
      <c r="Q29" s="9">
        <f t="shared" si="2"/>
        <v>0.01</v>
      </c>
      <c r="R29" s="48">
        <f t="shared" si="3"/>
        <v>-0.02</v>
      </c>
      <c r="S29" s="48">
        <f t="shared" si="4"/>
        <v>-553</v>
      </c>
      <c r="T29" s="48">
        <f t="shared" si="5"/>
        <v>-216.5</v>
      </c>
    </row>
    <row r="30" spans="1:20" ht="45">
      <c r="A30" s="7">
        <v>28</v>
      </c>
      <c r="B30" s="8" t="s">
        <v>479</v>
      </c>
      <c r="C30" s="21" t="s">
        <v>14</v>
      </c>
      <c r="D30" s="24"/>
      <c r="E30" s="24"/>
      <c r="F30" s="21" t="s">
        <v>600</v>
      </c>
      <c r="G30" s="24">
        <v>0</v>
      </c>
      <c r="H30" s="24">
        <v>0.14000000000000001</v>
      </c>
      <c r="I30" s="21" t="s">
        <v>600</v>
      </c>
      <c r="J30" s="24">
        <v>0</v>
      </c>
      <c r="K30" s="24">
        <v>11.08</v>
      </c>
      <c r="L30" s="21" t="s">
        <v>600</v>
      </c>
      <c r="M30" s="24">
        <v>0</v>
      </c>
      <c r="N30" s="24">
        <v>4.6500000000000004</v>
      </c>
      <c r="O30" s="9">
        <f t="shared" si="0"/>
        <v>0</v>
      </c>
      <c r="P30" s="9">
        <f t="shared" si="1"/>
        <v>0</v>
      </c>
      <c r="Q30" s="9">
        <f t="shared" si="2"/>
        <v>0</v>
      </c>
      <c r="R30" s="48">
        <f t="shared" si="3"/>
        <v>-0.14000000000000001</v>
      </c>
      <c r="S30" s="48">
        <f t="shared" si="4"/>
        <v>-79.14</v>
      </c>
      <c r="T30" s="48">
        <f t="shared" si="5"/>
        <v>-33.21</v>
      </c>
    </row>
    <row r="31" spans="1:20" ht="45">
      <c r="A31" s="7">
        <v>29</v>
      </c>
      <c r="B31" s="7" t="s">
        <v>28</v>
      </c>
      <c r="C31" s="21" t="s">
        <v>143</v>
      </c>
      <c r="D31" s="24">
        <v>0</v>
      </c>
      <c r="E31" s="24">
        <v>0.56000000000000005</v>
      </c>
      <c r="F31" s="21" t="s">
        <v>497</v>
      </c>
      <c r="G31" s="24">
        <v>0</v>
      </c>
      <c r="H31" s="24">
        <v>3.97</v>
      </c>
      <c r="I31" s="21" t="s">
        <v>497</v>
      </c>
      <c r="J31" s="24">
        <v>0</v>
      </c>
      <c r="K31" s="24">
        <v>13.05</v>
      </c>
      <c r="L31" s="21" t="s">
        <v>497</v>
      </c>
      <c r="M31" s="24">
        <v>0</v>
      </c>
      <c r="N31" s="24">
        <v>5.17</v>
      </c>
      <c r="O31" s="9">
        <f t="shared" si="0"/>
        <v>0</v>
      </c>
      <c r="P31" s="9">
        <f t="shared" si="1"/>
        <v>0</v>
      </c>
      <c r="Q31" s="9">
        <f t="shared" si="2"/>
        <v>0</v>
      </c>
      <c r="R31" s="48">
        <f t="shared" si="3"/>
        <v>-7.09</v>
      </c>
      <c r="S31" s="48">
        <f t="shared" si="4"/>
        <v>-3.29</v>
      </c>
      <c r="T31" s="48">
        <f t="shared" si="5"/>
        <v>-1.3</v>
      </c>
    </row>
    <row r="32" spans="1:20" ht="45">
      <c r="A32" s="7">
        <v>30</v>
      </c>
      <c r="B32" s="7" t="s">
        <v>29</v>
      </c>
      <c r="C32" s="21" t="s">
        <v>144</v>
      </c>
      <c r="D32" s="24">
        <v>0</v>
      </c>
      <c r="E32" s="24">
        <v>0.5</v>
      </c>
      <c r="F32" s="21" t="s">
        <v>601</v>
      </c>
      <c r="G32" s="24">
        <v>0.03</v>
      </c>
      <c r="H32" s="24">
        <v>1.72</v>
      </c>
      <c r="I32" s="21" t="s">
        <v>601</v>
      </c>
      <c r="J32" s="24">
        <v>0.03</v>
      </c>
      <c r="K32" s="24">
        <v>11.73</v>
      </c>
      <c r="L32" s="21" t="s">
        <v>601</v>
      </c>
      <c r="M32" s="24">
        <v>0.03</v>
      </c>
      <c r="N32" s="24">
        <v>4.34</v>
      </c>
      <c r="O32" s="9">
        <f t="shared" si="0"/>
        <v>0.03</v>
      </c>
      <c r="P32" s="9">
        <f t="shared" si="1"/>
        <v>0.03</v>
      </c>
      <c r="Q32" s="9">
        <f t="shared" si="2"/>
        <v>0.03</v>
      </c>
      <c r="R32" s="48">
        <f t="shared" si="3"/>
        <v>-3.44</v>
      </c>
      <c r="S32" s="48">
        <f t="shared" si="4"/>
        <v>-6.82</v>
      </c>
      <c r="T32" s="48">
        <f t="shared" si="5"/>
        <v>-2.52</v>
      </c>
    </row>
    <row r="33" spans="1:20" ht="45">
      <c r="A33" s="7">
        <v>31</v>
      </c>
      <c r="B33" s="7" t="s">
        <v>30</v>
      </c>
      <c r="C33" s="21" t="s">
        <v>145</v>
      </c>
      <c r="D33" s="24">
        <v>0</v>
      </c>
      <c r="E33" s="24">
        <v>0.5</v>
      </c>
      <c r="F33" s="21" t="s">
        <v>498</v>
      </c>
      <c r="G33" s="24">
        <v>0</v>
      </c>
      <c r="H33" s="24">
        <v>2.5299999999999998</v>
      </c>
      <c r="I33" s="21" t="s">
        <v>498</v>
      </c>
      <c r="J33" s="24">
        <v>0</v>
      </c>
      <c r="K33" s="24">
        <v>12.69</v>
      </c>
      <c r="L33" s="21" t="s">
        <v>498</v>
      </c>
      <c r="M33" s="24">
        <v>0</v>
      </c>
      <c r="N33" s="24">
        <v>5.35</v>
      </c>
      <c r="O33" s="9">
        <f t="shared" si="0"/>
        <v>0</v>
      </c>
      <c r="P33" s="9">
        <f t="shared" si="1"/>
        <v>0</v>
      </c>
      <c r="Q33" s="9">
        <f t="shared" si="2"/>
        <v>0</v>
      </c>
      <c r="R33" s="48">
        <f t="shared" si="3"/>
        <v>-5.0599999999999996</v>
      </c>
      <c r="S33" s="48">
        <f t="shared" si="4"/>
        <v>-5.0199999999999996</v>
      </c>
      <c r="T33" s="48">
        <f t="shared" si="5"/>
        <v>-2.11</v>
      </c>
    </row>
    <row r="34" spans="1:20" ht="45">
      <c r="A34" s="7">
        <v>32</v>
      </c>
      <c r="B34" s="7" t="s">
        <v>31</v>
      </c>
      <c r="C34" s="21" t="s">
        <v>146</v>
      </c>
      <c r="D34" s="24">
        <v>0</v>
      </c>
      <c r="E34" s="24">
        <v>0.51</v>
      </c>
      <c r="F34" s="21" t="s">
        <v>602</v>
      </c>
      <c r="G34" s="24">
        <v>0.03</v>
      </c>
      <c r="H34" s="24">
        <v>0.8</v>
      </c>
      <c r="I34" s="21" t="s">
        <v>602</v>
      </c>
      <c r="J34" s="24">
        <v>0.03</v>
      </c>
      <c r="K34" s="24">
        <v>11.22</v>
      </c>
      <c r="L34" s="21" t="s">
        <v>602</v>
      </c>
      <c r="M34" s="24">
        <v>0.03</v>
      </c>
      <c r="N34" s="24">
        <v>4.4000000000000004</v>
      </c>
      <c r="O34" s="9">
        <f t="shared" si="0"/>
        <v>0.03</v>
      </c>
      <c r="P34" s="9">
        <f t="shared" si="1"/>
        <v>0.03</v>
      </c>
      <c r="Q34" s="9">
        <f t="shared" si="2"/>
        <v>0.03</v>
      </c>
      <c r="R34" s="48">
        <f t="shared" si="3"/>
        <v>-1.57</v>
      </c>
      <c r="S34" s="48">
        <f t="shared" si="4"/>
        <v>-14.03</v>
      </c>
      <c r="T34" s="48">
        <f t="shared" si="5"/>
        <v>-5.5</v>
      </c>
    </row>
    <row r="35" spans="1:20" ht="45">
      <c r="A35" s="7">
        <v>33</v>
      </c>
      <c r="B35" s="7" t="s">
        <v>32</v>
      </c>
      <c r="C35" s="21" t="s">
        <v>156</v>
      </c>
      <c r="D35" s="24">
        <v>0</v>
      </c>
      <c r="E35" s="24">
        <v>8.67</v>
      </c>
      <c r="F35" s="21" t="s">
        <v>603</v>
      </c>
      <c r="G35" s="24">
        <v>0</v>
      </c>
      <c r="H35" s="24">
        <v>0.02</v>
      </c>
      <c r="I35" s="21" t="s">
        <v>603</v>
      </c>
      <c r="J35" s="24">
        <v>0</v>
      </c>
      <c r="K35" s="24">
        <v>11.02</v>
      </c>
      <c r="L35" s="21" t="s">
        <v>603</v>
      </c>
      <c r="M35" s="24">
        <v>0</v>
      </c>
      <c r="N35" s="24">
        <v>4.2300000000000004</v>
      </c>
      <c r="O35" s="9">
        <f t="shared" si="0"/>
        <v>0</v>
      </c>
      <c r="P35" s="9">
        <f t="shared" si="1"/>
        <v>0</v>
      </c>
      <c r="Q35" s="9">
        <f t="shared" si="2"/>
        <v>0</v>
      </c>
      <c r="R35" s="48">
        <f t="shared" si="3"/>
        <v>433.5</v>
      </c>
      <c r="S35" s="48">
        <f t="shared" si="4"/>
        <v>-551</v>
      </c>
      <c r="T35" s="48">
        <f t="shared" si="5"/>
        <v>-211.5</v>
      </c>
    </row>
    <row r="36" spans="1:20" ht="45">
      <c r="A36" s="7">
        <v>34</v>
      </c>
      <c r="B36" s="7" t="s">
        <v>33</v>
      </c>
      <c r="C36" s="21" t="s">
        <v>155</v>
      </c>
      <c r="D36" s="24">
        <v>0</v>
      </c>
      <c r="E36" s="24">
        <v>4.55</v>
      </c>
      <c r="F36" s="21" t="s">
        <v>604</v>
      </c>
      <c r="G36" s="24">
        <v>0.01</v>
      </c>
      <c r="H36" s="24">
        <v>0.02</v>
      </c>
      <c r="I36" s="21" t="s">
        <v>604</v>
      </c>
      <c r="J36" s="24">
        <v>0.01</v>
      </c>
      <c r="K36" s="24">
        <v>10.97</v>
      </c>
      <c r="L36" s="21" t="s">
        <v>604</v>
      </c>
      <c r="M36" s="24">
        <v>0.01</v>
      </c>
      <c r="N36" s="24">
        <v>4.42</v>
      </c>
      <c r="O36" s="9">
        <f t="shared" si="0"/>
        <v>0.01</v>
      </c>
      <c r="P36" s="9">
        <f t="shared" si="1"/>
        <v>0.01</v>
      </c>
      <c r="Q36" s="9">
        <f t="shared" si="2"/>
        <v>0.01</v>
      </c>
      <c r="R36" s="48">
        <f t="shared" si="3"/>
        <v>227.5</v>
      </c>
      <c r="S36" s="48">
        <f t="shared" si="4"/>
        <v>-548.5</v>
      </c>
      <c r="T36" s="48">
        <f t="shared" si="5"/>
        <v>-221</v>
      </c>
    </row>
    <row r="37" spans="1:20" ht="45">
      <c r="A37" s="7">
        <v>35</v>
      </c>
      <c r="B37" s="7" t="s">
        <v>480</v>
      </c>
      <c r="C37" s="21" t="s">
        <v>157</v>
      </c>
      <c r="D37" s="24">
        <v>0</v>
      </c>
      <c r="E37" s="24">
        <v>33.44</v>
      </c>
      <c r="F37" s="21" t="s">
        <v>605</v>
      </c>
      <c r="G37" s="24">
        <v>0</v>
      </c>
      <c r="H37" s="24">
        <v>0.12</v>
      </c>
      <c r="I37" s="21" t="s">
        <v>605</v>
      </c>
      <c r="J37" s="24">
        <v>0</v>
      </c>
      <c r="K37" s="24">
        <v>11.02</v>
      </c>
      <c r="L37" s="21" t="s">
        <v>605</v>
      </c>
      <c r="M37" s="24">
        <v>0</v>
      </c>
      <c r="N37" s="24">
        <v>4.16</v>
      </c>
      <c r="O37" s="9">
        <f t="shared" si="0"/>
        <v>0</v>
      </c>
      <c r="P37" s="9">
        <f t="shared" si="1"/>
        <v>0</v>
      </c>
      <c r="Q37" s="9">
        <f t="shared" si="2"/>
        <v>0</v>
      </c>
      <c r="R37" s="48">
        <f t="shared" si="3"/>
        <v>278.67</v>
      </c>
      <c r="S37" s="48">
        <f t="shared" si="4"/>
        <v>-91.83</v>
      </c>
      <c r="T37" s="48">
        <f t="shared" si="5"/>
        <v>-34.67</v>
      </c>
    </row>
    <row r="38" spans="1:20" ht="45">
      <c r="A38" s="7">
        <v>36</v>
      </c>
      <c r="B38" s="7" t="s">
        <v>34</v>
      </c>
      <c r="C38" s="21" t="s">
        <v>147</v>
      </c>
      <c r="D38" s="24">
        <v>0</v>
      </c>
      <c r="E38" s="24">
        <v>0.53</v>
      </c>
      <c r="F38" s="21" t="s">
        <v>499</v>
      </c>
      <c r="G38" s="24">
        <v>0</v>
      </c>
      <c r="H38" s="24">
        <v>3.74</v>
      </c>
      <c r="I38" s="21" t="s">
        <v>499</v>
      </c>
      <c r="J38" s="24">
        <v>0</v>
      </c>
      <c r="K38" s="24">
        <v>12.81</v>
      </c>
      <c r="L38" s="21" t="s">
        <v>499</v>
      </c>
      <c r="M38" s="24">
        <v>0</v>
      </c>
      <c r="N38" s="24">
        <v>5.51</v>
      </c>
      <c r="O38" s="9">
        <f t="shared" si="0"/>
        <v>0</v>
      </c>
      <c r="P38" s="9">
        <f t="shared" si="1"/>
        <v>0</v>
      </c>
      <c r="Q38" s="9">
        <f t="shared" si="2"/>
        <v>0</v>
      </c>
      <c r="R38" s="48">
        <f t="shared" si="3"/>
        <v>-7.06</v>
      </c>
      <c r="S38" s="48">
        <f t="shared" si="4"/>
        <v>-3.43</v>
      </c>
      <c r="T38" s="48">
        <f t="shared" si="5"/>
        <v>-1.47</v>
      </c>
    </row>
    <row r="39" spans="1:20" ht="45">
      <c r="A39" s="7">
        <v>37</v>
      </c>
      <c r="B39" s="7" t="s">
        <v>35</v>
      </c>
      <c r="C39" s="21" t="s">
        <v>148</v>
      </c>
      <c r="D39" s="24">
        <v>0</v>
      </c>
      <c r="E39" s="24">
        <v>0.48</v>
      </c>
      <c r="F39" s="21" t="s">
        <v>606</v>
      </c>
      <c r="G39" s="24">
        <v>0.03</v>
      </c>
      <c r="H39" s="24">
        <v>1.42</v>
      </c>
      <c r="I39" s="21" t="s">
        <v>606</v>
      </c>
      <c r="J39" s="24">
        <v>0.03</v>
      </c>
      <c r="K39" s="24">
        <v>13.99</v>
      </c>
      <c r="L39" s="21" t="s">
        <v>606</v>
      </c>
      <c r="M39" s="24">
        <v>0.03</v>
      </c>
      <c r="N39" s="24">
        <v>4.46</v>
      </c>
      <c r="O39" s="9">
        <f t="shared" si="0"/>
        <v>0.03</v>
      </c>
      <c r="P39" s="9">
        <f t="shared" si="1"/>
        <v>0.03</v>
      </c>
      <c r="Q39" s="9">
        <f t="shared" si="2"/>
        <v>0.03</v>
      </c>
      <c r="R39" s="48">
        <f t="shared" si="3"/>
        <v>-2.96</v>
      </c>
      <c r="S39" s="48">
        <f t="shared" si="4"/>
        <v>-9.85</v>
      </c>
      <c r="T39" s="48">
        <f t="shared" si="5"/>
        <v>-3.14</v>
      </c>
    </row>
    <row r="40" spans="1:20" ht="45">
      <c r="A40" s="7">
        <v>38</v>
      </c>
      <c r="B40" s="7" t="s">
        <v>36</v>
      </c>
      <c r="C40" s="21" t="s">
        <v>149</v>
      </c>
      <c r="D40" s="24">
        <v>0</v>
      </c>
      <c r="E40" s="24">
        <v>0.46</v>
      </c>
      <c r="F40" s="21" t="s">
        <v>500</v>
      </c>
      <c r="G40" s="24">
        <v>0</v>
      </c>
      <c r="H40" s="24">
        <v>1.97</v>
      </c>
      <c r="I40" s="21" t="s">
        <v>500</v>
      </c>
      <c r="J40" s="24">
        <v>0</v>
      </c>
      <c r="K40" s="24">
        <v>12.36</v>
      </c>
      <c r="L40" s="21" t="s">
        <v>500</v>
      </c>
      <c r="M40" s="24">
        <v>0</v>
      </c>
      <c r="N40" s="24">
        <v>5.05</v>
      </c>
      <c r="O40" s="9">
        <f t="shared" si="0"/>
        <v>0</v>
      </c>
      <c r="P40" s="9">
        <f t="shared" si="1"/>
        <v>0</v>
      </c>
      <c r="Q40" s="9">
        <f t="shared" si="2"/>
        <v>0</v>
      </c>
      <c r="R40" s="48">
        <f t="shared" si="3"/>
        <v>-4.28</v>
      </c>
      <c r="S40" s="48">
        <f t="shared" si="4"/>
        <v>-6.27</v>
      </c>
      <c r="T40" s="48">
        <f t="shared" si="5"/>
        <v>-2.56</v>
      </c>
    </row>
    <row r="41" spans="1:20" ht="45">
      <c r="A41" s="7">
        <v>39</v>
      </c>
      <c r="B41" s="7" t="s">
        <v>37</v>
      </c>
      <c r="C41" s="21" t="s">
        <v>150</v>
      </c>
      <c r="D41" s="24">
        <v>0</v>
      </c>
      <c r="E41" s="24">
        <v>0.47</v>
      </c>
      <c r="F41" s="21" t="s">
        <v>607</v>
      </c>
      <c r="G41" s="24">
        <v>0.03</v>
      </c>
      <c r="H41" s="24">
        <v>0.71</v>
      </c>
      <c r="I41" s="21" t="s">
        <v>607</v>
      </c>
      <c r="J41" s="24">
        <v>0.03</v>
      </c>
      <c r="K41" s="24">
        <v>8.26</v>
      </c>
      <c r="L41" s="21" t="s">
        <v>607</v>
      </c>
      <c r="M41" s="24">
        <v>0.03</v>
      </c>
      <c r="N41" s="24">
        <v>4.54</v>
      </c>
      <c r="O41" s="9">
        <f t="shared" si="0"/>
        <v>0.03</v>
      </c>
      <c r="P41" s="9">
        <f t="shared" si="1"/>
        <v>0.03</v>
      </c>
      <c r="Q41" s="9">
        <f t="shared" si="2"/>
        <v>0.03</v>
      </c>
      <c r="R41" s="48">
        <f t="shared" si="3"/>
        <v>-1.51</v>
      </c>
      <c r="S41" s="48">
        <f t="shared" si="4"/>
        <v>-11.63</v>
      </c>
      <c r="T41" s="48">
        <f t="shared" si="5"/>
        <v>-6.39</v>
      </c>
    </row>
    <row r="42" spans="1:20" ht="45">
      <c r="A42" s="7">
        <v>40</v>
      </c>
      <c r="B42" s="7" t="s">
        <v>38</v>
      </c>
      <c r="C42" s="21" t="s">
        <v>158</v>
      </c>
      <c r="D42" s="24">
        <v>0</v>
      </c>
      <c r="E42" s="24">
        <v>4.55</v>
      </c>
      <c r="F42" s="21" t="s">
        <v>608</v>
      </c>
      <c r="G42" s="24">
        <v>0</v>
      </c>
      <c r="H42" s="24">
        <v>0.02</v>
      </c>
      <c r="I42" s="21" t="s">
        <v>608</v>
      </c>
      <c r="J42" s="24">
        <v>0</v>
      </c>
      <c r="K42" s="24">
        <v>10.73</v>
      </c>
      <c r="L42" s="21" t="s">
        <v>608</v>
      </c>
      <c r="M42" s="24">
        <v>0</v>
      </c>
      <c r="N42" s="24">
        <v>4.4400000000000004</v>
      </c>
      <c r="O42" s="9">
        <f t="shared" si="0"/>
        <v>0</v>
      </c>
      <c r="P42" s="9">
        <f t="shared" si="1"/>
        <v>0</v>
      </c>
      <c r="Q42" s="9">
        <f t="shared" si="2"/>
        <v>0</v>
      </c>
      <c r="R42" s="48">
        <f t="shared" si="3"/>
        <v>227.5</v>
      </c>
      <c r="S42" s="48">
        <f t="shared" si="4"/>
        <v>-536.5</v>
      </c>
      <c r="T42" s="48">
        <f t="shared" si="5"/>
        <v>-222</v>
      </c>
    </row>
    <row r="43" spans="1:20" ht="45">
      <c r="A43" s="7">
        <v>41</v>
      </c>
      <c r="B43" s="7" t="s">
        <v>39</v>
      </c>
      <c r="C43" s="21" t="s">
        <v>159</v>
      </c>
      <c r="D43" s="24">
        <v>0</v>
      </c>
      <c r="E43" s="24">
        <v>2.4700000000000002</v>
      </c>
      <c r="F43" s="21" t="s">
        <v>501</v>
      </c>
      <c r="G43" s="24">
        <v>0.01</v>
      </c>
      <c r="H43" s="24">
        <v>0.03</v>
      </c>
      <c r="I43" s="21" t="s">
        <v>501</v>
      </c>
      <c r="J43" s="24">
        <v>0.01</v>
      </c>
      <c r="K43" s="24">
        <v>10.59</v>
      </c>
      <c r="L43" s="21" t="s">
        <v>501</v>
      </c>
      <c r="M43" s="24">
        <v>0.01</v>
      </c>
      <c r="N43" s="24">
        <v>4.32</v>
      </c>
      <c r="O43" s="9">
        <f t="shared" si="0"/>
        <v>0.01</v>
      </c>
      <c r="P43" s="9">
        <f t="shared" si="1"/>
        <v>0.01</v>
      </c>
      <c r="Q43" s="9">
        <f t="shared" si="2"/>
        <v>0.01</v>
      </c>
      <c r="R43" s="48">
        <f t="shared" si="3"/>
        <v>82.33</v>
      </c>
      <c r="S43" s="48">
        <f t="shared" si="4"/>
        <v>-353</v>
      </c>
      <c r="T43" s="48">
        <f t="shared" si="5"/>
        <v>-144</v>
      </c>
    </row>
    <row r="44" spans="1:20" ht="45">
      <c r="A44" s="7">
        <v>42</v>
      </c>
      <c r="B44" s="7" t="s">
        <v>481</v>
      </c>
      <c r="C44" s="21" t="s">
        <v>160</v>
      </c>
      <c r="D44" s="24">
        <v>0</v>
      </c>
      <c r="E44" s="24">
        <v>16.350000000000001</v>
      </c>
      <c r="F44" s="21" t="s">
        <v>609</v>
      </c>
      <c r="G44" s="24">
        <v>0</v>
      </c>
      <c r="H44" s="24">
        <v>0.08</v>
      </c>
      <c r="I44" s="21" t="s">
        <v>609</v>
      </c>
      <c r="J44" s="24">
        <v>0</v>
      </c>
      <c r="K44" s="24">
        <v>10.76</v>
      </c>
      <c r="L44" s="21" t="s">
        <v>609</v>
      </c>
      <c r="M44" s="24">
        <v>0</v>
      </c>
      <c r="N44" s="24">
        <v>4.26</v>
      </c>
      <c r="O44" s="9">
        <f t="shared" si="0"/>
        <v>0</v>
      </c>
      <c r="P44" s="9">
        <f t="shared" si="1"/>
        <v>0</v>
      </c>
      <c r="Q44" s="9">
        <f t="shared" si="2"/>
        <v>0</v>
      </c>
      <c r="R44" s="48">
        <f t="shared" si="3"/>
        <v>204.38</v>
      </c>
      <c r="S44" s="48">
        <f t="shared" si="4"/>
        <v>-134.5</v>
      </c>
      <c r="T44" s="48">
        <f t="shared" si="5"/>
        <v>-53.25</v>
      </c>
    </row>
    <row r="45" spans="1:20" ht="30" customHeight="1">
      <c r="A45" s="7">
        <v>43</v>
      </c>
      <c r="B45" s="7" t="s">
        <v>482</v>
      </c>
      <c r="C45" s="21" t="s">
        <v>151</v>
      </c>
      <c r="D45" s="24">
        <v>0</v>
      </c>
      <c r="E45" s="24">
        <v>0.93</v>
      </c>
      <c r="F45" s="21" t="s">
        <v>502</v>
      </c>
      <c r="G45" s="24">
        <v>0</v>
      </c>
      <c r="H45" s="24">
        <v>5.13</v>
      </c>
      <c r="I45" s="21" t="s">
        <v>502</v>
      </c>
      <c r="J45" s="24">
        <v>0</v>
      </c>
      <c r="K45" s="24">
        <v>13.9</v>
      </c>
      <c r="L45" s="21" t="s">
        <v>502</v>
      </c>
      <c r="M45" s="24">
        <v>0</v>
      </c>
      <c r="N45" s="24">
        <v>5.99</v>
      </c>
      <c r="O45" s="9">
        <f t="shared" si="0"/>
        <v>0</v>
      </c>
      <c r="P45" s="9">
        <f t="shared" si="1"/>
        <v>0</v>
      </c>
      <c r="Q45" s="9">
        <f t="shared" si="2"/>
        <v>0</v>
      </c>
      <c r="R45" s="48">
        <f t="shared" si="3"/>
        <v>-5.52</v>
      </c>
      <c r="S45" s="48">
        <f t="shared" si="4"/>
        <v>-2.71</v>
      </c>
      <c r="T45" s="48">
        <f t="shared" si="5"/>
        <v>-1.17</v>
      </c>
    </row>
    <row r="46" spans="1:20" ht="30" customHeight="1">
      <c r="A46" s="7">
        <v>44</v>
      </c>
      <c r="B46" s="7" t="s">
        <v>483</v>
      </c>
      <c r="C46" s="21" t="s">
        <v>152</v>
      </c>
      <c r="D46" s="24">
        <v>0</v>
      </c>
      <c r="E46" s="24">
        <v>0.87</v>
      </c>
      <c r="F46" s="21" t="s">
        <v>610</v>
      </c>
      <c r="G46" s="24">
        <v>0.03</v>
      </c>
      <c r="H46" s="24">
        <v>2.12</v>
      </c>
      <c r="I46" s="21" t="s">
        <v>610</v>
      </c>
      <c r="J46" s="24">
        <v>0.03</v>
      </c>
      <c r="K46" s="24">
        <v>12.03</v>
      </c>
      <c r="L46" s="21" t="s">
        <v>610</v>
      </c>
      <c r="M46" s="24">
        <v>0.03</v>
      </c>
      <c r="N46" s="24">
        <v>4.5999999999999996</v>
      </c>
      <c r="O46" s="9">
        <f t="shared" si="0"/>
        <v>0.03</v>
      </c>
      <c r="P46" s="9">
        <f t="shared" si="1"/>
        <v>0.03</v>
      </c>
      <c r="Q46" s="9">
        <f t="shared" si="2"/>
        <v>0.03</v>
      </c>
      <c r="R46" s="48">
        <f t="shared" si="3"/>
        <v>-2.44</v>
      </c>
      <c r="S46" s="48">
        <f t="shared" si="4"/>
        <v>-5.67</v>
      </c>
      <c r="T46" s="48">
        <f t="shared" si="5"/>
        <v>-2.17</v>
      </c>
    </row>
    <row r="47" spans="1:20" ht="30" customHeight="1">
      <c r="A47" s="7">
        <v>45</v>
      </c>
      <c r="B47" s="7" t="s">
        <v>484</v>
      </c>
      <c r="C47" s="21" t="s">
        <v>153</v>
      </c>
      <c r="D47" s="24">
        <v>0</v>
      </c>
      <c r="E47" s="24">
        <v>0.81</v>
      </c>
      <c r="F47" s="21" t="s">
        <v>503</v>
      </c>
      <c r="G47" s="24">
        <v>0</v>
      </c>
      <c r="H47" s="24">
        <v>3.12</v>
      </c>
      <c r="I47" s="21" t="s">
        <v>503</v>
      </c>
      <c r="J47" s="24">
        <v>0</v>
      </c>
      <c r="K47" s="24">
        <v>12.15</v>
      </c>
      <c r="L47" s="21" t="s">
        <v>503</v>
      </c>
      <c r="M47" s="24">
        <v>0</v>
      </c>
      <c r="N47" s="24">
        <v>5.47</v>
      </c>
      <c r="O47" s="9">
        <f t="shared" si="0"/>
        <v>0</v>
      </c>
      <c r="P47" s="9">
        <f t="shared" si="1"/>
        <v>0</v>
      </c>
      <c r="Q47" s="9">
        <f t="shared" si="2"/>
        <v>0</v>
      </c>
      <c r="R47" s="48">
        <f t="shared" si="3"/>
        <v>-3.85</v>
      </c>
      <c r="S47" s="48">
        <f t="shared" si="4"/>
        <v>-3.89</v>
      </c>
      <c r="T47" s="48">
        <f t="shared" si="5"/>
        <v>-1.75</v>
      </c>
    </row>
    <row r="48" spans="1:20" ht="30" customHeight="1">
      <c r="A48" s="7">
        <v>46</v>
      </c>
      <c r="B48" s="7" t="s">
        <v>485</v>
      </c>
      <c r="C48" s="21" t="s">
        <v>154</v>
      </c>
      <c r="D48" s="24">
        <v>0</v>
      </c>
      <c r="E48" s="24">
        <v>0.82</v>
      </c>
      <c r="F48" s="21" t="s">
        <v>611</v>
      </c>
      <c r="G48" s="24">
        <v>0.03</v>
      </c>
      <c r="H48" s="24">
        <v>1.06</v>
      </c>
      <c r="I48" s="21" t="s">
        <v>611</v>
      </c>
      <c r="J48" s="24">
        <v>0.03</v>
      </c>
      <c r="K48" s="24">
        <v>8.39</v>
      </c>
      <c r="L48" s="21" t="s">
        <v>611</v>
      </c>
      <c r="M48" s="24">
        <v>0.03</v>
      </c>
      <c r="N48" s="24">
        <v>4.5599999999999996</v>
      </c>
      <c r="O48" s="9">
        <f t="shared" si="0"/>
        <v>0.03</v>
      </c>
      <c r="P48" s="9">
        <f t="shared" si="1"/>
        <v>0.03</v>
      </c>
      <c r="Q48" s="9">
        <f t="shared" si="2"/>
        <v>0.03</v>
      </c>
      <c r="R48" s="48">
        <f t="shared" si="3"/>
        <v>-1.29</v>
      </c>
      <c r="S48" s="48">
        <f t="shared" si="4"/>
        <v>-7.92</v>
      </c>
      <c r="T48" s="48">
        <f t="shared" si="5"/>
        <v>-4.3</v>
      </c>
    </row>
    <row r="49" spans="1:20" ht="30" customHeight="1">
      <c r="A49" s="7">
        <v>47</v>
      </c>
      <c r="B49" s="7" t="s">
        <v>486</v>
      </c>
      <c r="C49" s="21" t="s">
        <v>162</v>
      </c>
      <c r="D49" s="24">
        <v>0</v>
      </c>
      <c r="E49" s="24">
        <v>39.369999999999997</v>
      </c>
      <c r="F49" s="21" t="s">
        <v>504</v>
      </c>
      <c r="G49" s="24">
        <v>0</v>
      </c>
      <c r="H49" s="24">
        <v>0.04</v>
      </c>
      <c r="I49" s="21" t="s">
        <v>504</v>
      </c>
      <c r="J49" s="24">
        <v>0</v>
      </c>
      <c r="K49" s="24">
        <v>10.64</v>
      </c>
      <c r="L49" s="21" t="s">
        <v>504</v>
      </c>
      <c r="M49" s="24">
        <v>0</v>
      </c>
      <c r="N49" s="24">
        <v>4.3099999999999996</v>
      </c>
      <c r="O49" s="9">
        <f t="shared" si="0"/>
        <v>0</v>
      </c>
      <c r="P49" s="9">
        <f t="shared" si="1"/>
        <v>0</v>
      </c>
      <c r="Q49" s="9">
        <f t="shared" si="2"/>
        <v>0</v>
      </c>
      <c r="R49" s="48">
        <f t="shared" si="3"/>
        <v>984.25</v>
      </c>
      <c r="S49" s="48">
        <f t="shared" si="4"/>
        <v>-266</v>
      </c>
      <c r="T49" s="48">
        <f t="shared" si="5"/>
        <v>-107.75</v>
      </c>
    </row>
    <row r="50" spans="1:20" ht="30" customHeight="1">
      <c r="A50" s="7">
        <v>48</v>
      </c>
      <c r="B50" s="7" t="s">
        <v>487</v>
      </c>
      <c r="C50" s="21" t="s">
        <v>161</v>
      </c>
      <c r="D50" s="24">
        <v>0</v>
      </c>
      <c r="E50" s="24">
        <v>19.399999999999999</v>
      </c>
      <c r="F50" s="21" t="s">
        <v>612</v>
      </c>
      <c r="G50" s="24">
        <v>0.01</v>
      </c>
      <c r="H50" s="24">
        <v>0.01</v>
      </c>
      <c r="I50" s="21" t="s">
        <v>612</v>
      </c>
      <c r="J50" s="24">
        <v>0.01</v>
      </c>
      <c r="K50" s="24">
        <v>11.61</v>
      </c>
      <c r="L50" s="21" t="s">
        <v>612</v>
      </c>
      <c r="M50" s="24">
        <v>0.01</v>
      </c>
      <c r="N50" s="24">
        <v>4.38</v>
      </c>
      <c r="O50" s="9">
        <f t="shared" si="0"/>
        <v>0.01</v>
      </c>
      <c r="P50" s="9">
        <f t="shared" si="1"/>
        <v>0.01</v>
      </c>
      <c r="Q50" s="9">
        <f t="shared" si="2"/>
        <v>0.01</v>
      </c>
      <c r="R50" s="48">
        <f t="shared" si="3"/>
        <v>1940</v>
      </c>
      <c r="S50" s="48">
        <f t="shared" si="4"/>
        <v>-1161</v>
      </c>
      <c r="T50" s="48">
        <f t="shared" si="5"/>
        <v>-438</v>
      </c>
    </row>
    <row r="51" spans="1:20" ht="30" customHeight="1">
      <c r="A51" s="7">
        <v>49</v>
      </c>
      <c r="B51" s="7" t="s">
        <v>488</v>
      </c>
      <c r="C51" s="21" t="s">
        <v>163</v>
      </c>
      <c r="D51" s="24">
        <v>0</v>
      </c>
      <c r="E51" s="24">
        <v>161.44999999999999</v>
      </c>
      <c r="F51" s="21" t="s">
        <v>505</v>
      </c>
      <c r="G51" s="24">
        <v>0</v>
      </c>
      <c r="H51" s="24">
        <v>0.11</v>
      </c>
      <c r="I51" s="21" t="s">
        <v>505</v>
      </c>
      <c r="J51" s="24">
        <v>0</v>
      </c>
      <c r="K51" s="24">
        <v>8.44</v>
      </c>
      <c r="L51" s="21" t="s">
        <v>505</v>
      </c>
      <c r="M51" s="24">
        <v>0</v>
      </c>
      <c r="N51" s="24">
        <v>4.4400000000000004</v>
      </c>
      <c r="O51" s="9">
        <f t="shared" si="0"/>
        <v>0</v>
      </c>
      <c r="P51" s="9">
        <f t="shared" si="1"/>
        <v>0</v>
      </c>
      <c r="Q51" s="9">
        <f t="shared" si="2"/>
        <v>0</v>
      </c>
      <c r="R51" s="48">
        <f>ROUND(IF(E51&lt;H51, -(H51/IF(E51=0,1,E51)), IF(E51=0,1,E51)/IF(H51=0,1,H51)), 2)</f>
        <v>1467.73</v>
      </c>
      <c r="S51" s="48">
        <f t="shared" si="4"/>
        <v>-76.73</v>
      </c>
      <c r="T51" s="48">
        <f t="shared" si="5"/>
        <v>-40.36</v>
      </c>
    </row>
    <row r="52" spans="1:20" ht="18.75">
      <c r="I52" s="94" t="s">
        <v>370</v>
      </c>
      <c r="J52" s="98"/>
      <c r="K52" s="98"/>
      <c r="L52" s="29"/>
      <c r="M52" s="45"/>
      <c r="N52" s="45"/>
      <c r="O52" s="18">
        <f t="shared" ref="O52:T52" si="6">AVERAGE(O$3:O$51)</f>
        <v>1.0000000000000004E-2</v>
      </c>
      <c r="P52" s="18">
        <f t="shared" si="6"/>
        <v>1.0000000000000004E-2</v>
      </c>
      <c r="Q52" s="18">
        <f t="shared" si="6"/>
        <v>1.0000000000000004E-2</v>
      </c>
      <c r="R52" s="19">
        <f t="shared" si="6"/>
        <v>120.13020408163264</v>
      </c>
      <c r="S52" s="19">
        <f t="shared" si="6"/>
        <v>-152.59755102040819</v>
      </c>
      <c r="T52" s="19">
        <f t="shared" si="6"/>
        <v>-57.753673469387763</v>
      </c>
    </row>
    <row r="53" spans="1:20" ht="18.75">
      <c r="I53" s="95" t="s">
        <v>371</v>
      </c>
      <c r="J53" s="99"/>
      <c r="K53" s="99"/>
      <c r="L53" s="30"/>
      <c r="M53" s="46"/>
      <c r="N53" s="46"/>
      <c r="O53" s="14">
        <f t="shared" ref="O53:T53" si="7">MIN(O$3:O$51)</f>
        <v>0</v>
      </c>
      <c r="P53" s="14">
        <f t="shared" si="7"/>
        <v>0</v>
      </c>
      <c r="Q53" s="14">
        <f t="shared" si="7"/>
        <v>0</v>
      </c>
      <c r="R53" s="15">
        <f t="shared" si="7"/>
        <v>-7.09</v>
      </c>
      <c r="S53" s="15">
        <f t="shared" si="7"/>
        <v>-1161</v>
      </c>
      <c r="T53" s="15">
        <f t="shared" si="7"/>
        <v>-438</v>
      </c>
    </row>
    <row r="54" spans="1:20" ht="18.75">
      <c r="I54" s="96" t="s">
        <v>372</v>
      </c>
      <c r="J54" s="100"/>
      <c r="K54" s="100"/>
      <c r="L54" s="31"/>
      <c r="M54" s="47"/>
      <c r="N54" s="47"/>
      <c r="O54" s="16">
        <f t="shared" ref="O54:T54" si="8">MAX(O$3:O$51)</f>
        <v>0.03</v>
      </c>
      <c r="P54" s="16">
        <f t="shared" si="8"/>
        <v>0.03</v>
      </c>
      <c r="Q54" s="16">
        <f t="shared" si="8"/>
        <v>0.03</v>
      </c>
      <c r="R54" s="17">
        <f t="shared" si="8"/>
        <v>1940</v>
      </c>
      <c r="S54" s="17">
        <f t="shared" si="8"/>
        <v>-1.88</v>
      </c>
      <c r="T54" s="17">
        <f t="shared" si="8"/>
        <v>1.1399999999999999</v>
      </c>
    </row>
    <row r="55" spans="1:20" ht="31.5">
      <c r="O55" s="11" t="s">
        <v>211</v>
      </c>
      <c r="P55" s="10" t="s">
        <v>528</v>
      </c>
      <c r="Q55" s="36" t="s">
        <v>578</v>
      </c>
      <c r="R55" s="23" t="s">
        <v>290</v>
      </c>
      <c r="S55" s="43" t="s">
        <v>529</v>
      </c>
      <c r="T55" s="44" t="s">
        <v>579</v>
      </c>
    </row>
  </sheetData>
  <mergeCells count="10">
    <mergeCell ref="A1:A2"/>
    <mergeCell ref="B1:B2"/>
    <mergeCell ref="C1:E1"/>
    <mergeCell ref="F1:H1"/>
    <mergeCell ref="I1:K1"/>
    <mergeCell ref="L1:N1"/>
    <mergeCell ref="O1:T1"/>
    <mergeCell ref="I52:K52"/>
    <mergeCell ref="I53:K53"/>
    <mergeCell ref="I54:K54"/>
  </mergeCells>
  <conditionalFormatting sqref="O1:O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6:O1048576 O3:O5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Q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5:Q5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6:Q1048576 P3:P5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:Q51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T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5:T5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6:T1048576 R3:S5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S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5DAA4-9EB2-4B9D-AB45-C0DFAE3C6C70}">
  <dimension ref="A1:AI55"/>
  <sheetViews>
    <sheetView topLeftCell="G31" zoomScale="85" zoomScaleNormal="85" workbookViewId="0">
      <selection activeCell="AC42" sqref="AC42"/>
    </sheetView>
  </sheetViews>
  <sheetFormatPr baseColWidth="10" defaultRowHeight="30.75" customHeight="1"/>
  <cols>
    <col min="1" max="1" width="8.140625" style="5" bestFit="1" customWidth="1"/>
    <col min="2" max="2" width="57.5703125" style="5" customWidth="1"/>
    <col min="3" max="3" width="44" style="22" bestFit="1" customWidth="1"/>
    <col min="4" max="4" width="8.5703125" style="25" customWidth="1"/>
    <col min="5" max="5" width="8.28515625" style="25" bestFit="1" customWidth="1"/>
    <col min="6" max="6" width="44" style="22" bestFit="1" customWidth="1"/>
    <col min="7" max="7" width="8.5703125" style="25" bestFit="1" customWidth="1"/>
    <col min="8" max="8" width="8.28515625" style="25" bestFit="1" customWidth="1"/>
    <col min="9" max="9" width="44" style="22" bestFit="1" customWidth="1"/>
    <col min="10" max="10" width="8.5703125" style="25" bestFit="1" customWidth="1"/>
    <col min="11" max="11" width="8.28515625" style="25" bestFit="1" customWidth="1"/>
    <col min="12" max="12" width="44" style="22" bestFit="1" customWidth="1"/>
    <col min="13" max="13" width="8.7109375" style="25" bestFit="1" customWidth="1"/>
    <col min="14" max="14" width="8.28515625" style="25" customWidth="1"/>
    <col min="15" max="16" width="11.140625" style="6" bestFit="1" customWidth="1"/>
    <col min="17" max="17" width="11.140625" style="6" customWidth="1"/>
    <col min="18" max="18" width="10.5703125" style="49" bestFit="1" customWidth="1"/>
    <col min="19" max="19" width="10.28515625" style="49" bestFit="1" customWidth="1"/>
    <col min="20" max="20" width="10.28515625" style="49" customWidth="1"/>
    <col min="21" max="21" width="10.28515625" style="49" bestFit="1" customWidth="1"/>
    <col min="22" max="22" width="10.28515625" style="49" customWidth="1"/>
    <col min="23" max="16384" width="11.42578125" style="5"/>
  </cols>
  <sheetData>
    <row r="1" spans="1:22" ht="15.75">
      <c r="A1" s="84" t="s">
        <v>176</v>
      </c>
      <c r="B1" s="84" t="s">
        <v>0</v>
      </c>
      <c r="C1" s="85" t="s">
        <v>178</v>
      </c>
      <c r="D1" s="85"/>
      <c r="E1" s="85"/>
      <c r="F1" s="86" t="s">
        <v>377</v>
      </c>
      <c r="G1" s="86"/>
      <c r="H1" s="86"/>
      <c r="I1" s="87" t="s">
        <v>525</v>
      </c>
      <c r="J1" s="87"/>
      <c r="K1" s="87"/>
      <c r="L1" s="88" t="s">
        <v>575</v>
      </c>
      <c r="M1" s="89"/>
      <c r="N1" s="90"/>
      <c r="O1" s="115" t="s">
        <v>210</v>
      </c>
      <c r="P1" s="116"/>
      <c r="Q1" s="116"/>
      <c r="R1" s="116"/>
      <c r="S1" s="116"/>
      <c r="T1" s="116"/>
      <c r="U1" s="116"/>
      <c r="V1" s="116"/>
    </row>
    <row r="2" spans="1:22" ht="31.5">
      <c r="A2" s="84"/>
      <c r="B2" s="84"/>
      <c r="C2" s="32" t="s">
        <v>1</v>
      </c>
      <c r="D2" s="23" t="s">
        <v>79</v>
      </c>
      <c r="E2" s="23" t="s">
        <v>78</v>
      </c>
      <c r="F2" s="33" t="s">
        <v>1</v>
      </c>
      <c r="G2" s="42" t="s">
        <v>374</v>
      </c>
      <c r="H2" s="42" t="s">
        <v>376</v>
      </c>
      <c r="I2" s="34" t="s">
        <v>1</v>
      </c>
      <c r="J2" s="43" t="s">
        <v>526</v>
      </c>
      <c r="K2" s="43" t="s">
        <v>527</v>
      </c>
      <c r="L2" s="35" t="s">
        <v>1</v>
      </c>
      <c r="M2" s="44" t="s">
        <v>576</v>
      </c>
      <c r="N2" s="44" t="s">
        <v>577</v>
      </c>
      <c r="O2" s="11" t="s">
        <v>211</v>
      </c>
      <c r="P2" s="10" t="s">
        <v>528</v>
      </c>
      <c r="Q2" s="36" t="s">
        <v>578</v>
      </c>
      <c r="R2" s="117" t="s">
        <v>290</v>
      </c>
      <c r="S2" s="118" t="s">
        <v>529</v>
      </c>
      <c r="T2" s="118" t="s">
        <v>632</v>
      </c>
      <c r="U2" s="119" t="s">
        <v>579</v>
      </c>
      <c r="V2" s="114" t="s">
        <v>633</v>
      </c>
    </row>
    <row r="3" spans="1:22" ht="30.75" customHeight="1">
      <c r="A3" s="7">
        <v>1</v>
      </c>
      <c r="B3" s="8" t="s">
        <v>40</v>
      </c>
      <c r="C3" s="21" t="s">
        <v>80</v>
      </c>
      <c r="D3" s="24">
        <v>0.5</v>
      </c>
      <c r="E3" s="24">
        <v>1083.5999999999999</v>
      </c>
      <c r="F3" s="21" t="s">
        <v>519</v>
      </c>
      <c r="G3" s="24">
        <v>0.5</v>
      </c>
      <c r="H3" s="24">
        <v>413.19</v>
      </c>
      <c r="I3" s="21" t="s">
        <v>519</v>
      </c>
      <c r="J3" s="24">
        <v>0.5</v>
      </c>
      <c r="K3" s="24">
        <v>88.44</v>
      </c>
      <c r="L3" s="21" t="s">
        <v>519</v>
      </c>
      <c r="M3" s="24">
        <v>0.5</v>
      </c>
      <c r="N3" s="24">
        <v>22.07</v>
      </c>
      <c r="O3" s="9">
        <f>ABS(D3-G3)/IF(D3=0,1,D3)</f>
        <v>0</v>
      </c>
      <c r="P3" s="9">
        <f>ABS(D3-J3)/IF(D3=0,1,D3)</f>
        <v>0</v>
      </c>
      <c r="Q3" s="9">
        <f>ABS(D3-M3)/IF(D3=0,1,D3)</f>
        <v>0</v>
      </c>
      <c r="R3" s="48">
        <f>ROUND(IF(E3&lt;H3, -(H3/IF(E3=0,1,E3)), IF(E3=0,1,E3)/IF(H3=0,1,H3)), 2)</f>
        <v>2.62</v>
      </c>
      <c r="S3" s="48">
        <f>ROUND(IF(H3&lt;K3, -(K3/IF(H3=0,1,H3)), IF(H3=0,1,H3)/IF(K3=0,1,K3)), 2)</f>
        <v>4.67</v>
      </c>
      <c r="T3" s="48">
        <f>ROUND(IF(E3&lt;K3, -(K3/IF(E3=0,1,E3)), IF(E3=0,1,E3)/IF(K3=0,1,K3)), 2)</f>
        <v>12.25</v>
      </c>
      <c r="U3" s="48">
        <f>ROUND(IF(H3&lt;N3, -(N3/IF(H3=0,1,H3)), IF(H3=0,1,H3)/IF(N3=0,1,N3)), 2)</f>
        <v>18.72</v>
      </c>
      <c r="V3" s="48">
        <f>ROUND(IF(E3&lt;N3, -(N3/IF(E3=0,1,E3)), IF(E3=0,1,E3)/IF(N3=0,1,N3)), 2)</f>
        <v>49.1</v>
      </c>
    </row>
    <row r="4" spans="1:22" ht="30.75" customHeight="1">
      <c r="A4" s="7">
        <v>2</v>
      </c>
      <c r="B4" s="8" t="s">
        <v>41</v>
      </c>
      <c r="C4" s="21" t="s">
        <v>81</v>
      </c>
      <c r="D4" s="24">
        <v>0</v>
      </c>
      <c r="E4" s="24">
        <v>132.16999999999999</v>
      </c>
      <c r="F4" s="21" t="s">
        <v>530</v>
      </c>
      <c r="G4" s="24">
        <v>0</v>
      </c>
      <c r="H4" s="24">
        <v>183.79</v>
      </c>
      <c r="I4" s="21" t="s">
        <v>552</v>
      </c>
      <c r="J4" s="24">
        <v>0</v>
      </c>
      <c r="K4" s="24">
        <v>45.84</v>
      </c>
      <c r="L4" s="21" t="s">
        <v>552</v>
      </c>
      <c r="M4" s="24">
        <v>0</v>
      </c>
      <c r="N4" s="24">
        <v>10.99</v>
      </c>
      <c r="O4" s="9">
        <f>ABS(D4-G4)/IF(D4=0,1,D4)</f>
        <v>0</v>
      </c>
      <c r="P4" s="9">
        <f t="shared" ref="P4:P51" si="0">ABS(D4-J4)/IF(D4=0,1,D4)</f>
        <v>0</v>
      </c>
      <c r="Q4" s="9">
        <f t="shared" ref="Q4:Q51" si="1">ABS(D4-M4)/IF(D4=0,1,D4)</f>
        <v>0</v>
      </c>
      <c r="R4" s="48">
        <f>ROUND(IF(E4&lt;H4, -(H4/IF(E4=0,1,E4)), IF(E4=0,1,E4)/IF(H4=0,1,H4)), 2)</f>
        <v>-1.39</v>
      </c>
      <c r="S4" s="48">
        <f t="shared" ref="S4:S51" si="2">ROUND(IF(H4&lt;K4, -(K4/IF(H4=0,1,H4)), IF(H4=0,1,H4)/IF(K4=0,1,K4)), 2)</f>
        <v>4.01</v>
      </c>
      <c r="T4" s="48">
        <f t="shared" ref="T4:T51" si="3">ROUND(IF(E4&lt;K4, -(K4/IF(E4=0,1,E4)), IF(E4=0,1,E4)/IF(K4=0,1,K4)), 2)</f>
        <v>2.88</v>
      </c>
      <c r="U4" s="48">
        <f t="shared" ref="U4:U51" si="4">ROUND(IF(H4&lt;N4, -(N4/IF(H4=0,1,H4)), IF(H4=0,1,H4)/IF(N4=0,1,N4)), 2)</f>
        <v>16.72</v>
      </c>
      <c r="V4" s="48">
        <f t="shared" ref="V4:V51" si="5">ROUND(IF(E4&lt;N4, -(N4/IF(E4=0,1,E4)), IF(E4=0,1,E4)/IF(N4=0,1,N4)), 2)</f>
        <v>12.03</v>
      </c>
    </row>
    <row r="5" spans="1:22" ht="30.75" customHeight="1">
      <c r="A5" s="7">
        <v>3</v>
      </c>
      <c r="B5" s="8" t="s">
        <v>42</v>
      </c>
      <c r="C5" s="21" t="s">
        <v>82</v>
      </c>
      <c r="D5" s="24">
        <v>0</v>
      </c>
      <c r="E5" s="24">
        <v>256.89999999999998</v>
      </c>
      <c r="F5" s="21" t="s">
        <v>520</v>
      </c>
      <c r="G5" s="24">
        <v>0</v>
      </c>
      <c r="H5" s="24">
        <v>185.45</v>
      </c>
      <c r="I5" s="21" t="s">
        <v>520</v>
      </c>
      <c r="J5" s="24">
        <v>0</v>
      </c>
      <c r="K5" s="24">
        <v>46.55</v>
      </c>
      <c r="L5" s="21" t="s">
        <v>520</v>
      </c>
      <c r="M5" s="24">
        <v>0</v>
      </c>
      <c r="N5" s="24">
        <v>12.18</v>
      </c>
      <c r="O5" s="9">
        <f t="shared" ref="O5:O51" si="6">ABS(D5-G5)/IF(D5=0,1,D5)</f>
        <v>0</v>
      </c>
      <c r="P5" s="9">
        <f t="shared" si="0"/>
        <v>0</v>
      </c>
      <c r="Q5" s="9">
        <f t="shared" si="1"/>
        <v>0</v>
      </c>
      <c r="R5" s="48">
        <f t="shared" ref="R5:R51" si="7">ROUND(IF(E5&lt;H5, -(H5/IF(E5=0,1,E5)), IF(E5=0,1,E5)/IF(H5=0,1,H5)), 2)</f>
        <v>1.39</v>
      </c>
      <c r="S5" s="48">
        <f t="shared" si="2"/>
        <v>3.98</v>
      </c>
      <c r="T5" s="48">
        <f t="shared" si="3"/>
        <v>5.52</v>
      </c>
      <c r="U5" s="48">
        <f t="shared" si="4"/>
        <v>15.23</v>
      </c>
      <c r="V5" s="48">
        <f t="shared" si="5"/>
        <v>21.09</v>
      </c>
    </row>
    <row r="6" spans="1:22" ht="30.75" customHeight="1">
      <c r="A6" s="7">
        <v>4</v>
      </c>
      <c r="B6" s="8" t="s">
        <v>43</v>
      </c>
      <c r="C6" s="21" t="s">
        <v>83</v>
      </c>
      <c r="D6" s="24">
        <v>0</v>
      </c>
      <c r="E6" s="24">
        <v>139.47</v>
      </c>
      <c r="F6" s="21" t="s">
        <v>521</v>
      </c>
      <c r="G6" s="24">
        <v>0</v>
      </c>
      <c r="H6" s="24">
        <v>87.71</v>
      </c>
      <c r="I6" s="21" t="s">
        <v>521</v>
      </c>
      <c r="J6" s="24">
        <v>0</v>
      </c>
      <c r="K6" s="24">
        <v>27.98</v>
      </c>
      <c r="L6" s="21" t="s">
        <v>521</v>
      </c>
      <c r="M6" s="24">
        <v>0</v>
      </c>
      <c r="N6" s="24">
        <v>7.63</v>
      </c>
      <c r="O6" s="9">
        <f t="shared" si="6"/>
        <v>0</v>
      </c>
      <c r="P6" s="9">
        <f t="shared" si="0"/>
        <v>0</v>
      </c>
      <c r="Q6" s="9">
        <f t="shared" si="1"/>
        <v>0</v>
      </c>
      <c r="R6" s="48">
        <f t="shared" si="7"/>
        <v>1.59</v>
      </c>
      <c r="S6" s="48">
        <f t="shared" si="2"/>
        <v>3.13</v>
      </c>
      <c r="T6" s="48">
        <f t="shared" si="3"/>
        <v>4.9800000000000004</v>
      </c>
      <c r="U6" s="48">
        <f t="shared" si="4"/>
        <v>11.5</v>
      </c>
      <c r="V6" s="48">
        <f t="shared" si="5"/>
        <v>18.28</v>
      </c>
    </row>
    <row r="7" spans="1:22" ht="30.75" customHeight="1">
      <c r="A7" s="7">
        <v>5</v>
      </c>
      <c r="B7" s="8" t="s">
        <v>44</v>
      </c>
      <c r="C7" s="21" t="s">
        <v>84</v>
      </c>
      <c r="D7" s="24">
        <v>0</v>
      </c>
      <c r="E7" s="24">
        <v>4.84</v>
      </c>
      <c r="F7" s="21" t="s">
        <v>522</v>
      </c>
      <c r="G7" s="24">
        <v>0</v>
      </c>
      <c r="H7" s="24">
        <v>0.23</v>
      </c>
      <c r="I7" s="21" t="s">
        <v>522</v>
      </c>
      <c r="J7" s="24">
        <v>0</v>
      </c>
      <c r="K7" s="24">
        <v>11.19</v>
      </c>
      <c r="L7" s="21" t="s">
        <v>522</v>
      </c>
      <c r="M7" s="24">
        <v>0</v>
      </c>
      <c r="N7" s="24">
        <v>4.21</v>
      </c>
      <c r="O7" s="9">
        <f t="shared" si="6"/>
        <v>0</v>
      </c>
      <c r="P7" s="9">
        <f t="shared" si="0"/>
        <v>0</v>
      </c>
      <c r="Q7" s="9">
        <f t="shared" si="1"/>
        <v>0</v>
      </c>
      <c r="R7" s="48">
        <f t="shared" si="7"/>
        <v>21.04</v>
      </c>
      <c r="S7" s="48">
        <f t="shared" si="2"/>
        <v>-48.65</v>
      </c>
      <c r="T7" s="48">
        <f t="shared" si="3"/>
        <v>-2.31</v>
      </c>
      <c r="U7" s="48">
        <f t="shared" si="4"/>
        <v>-18.3</v>
      </c>
      <c r="V7" s="48">
        <f t="shared" si="5"/>
        <v>1.1499999999999999</v>
      </c>
    </row>
    <row r="8" spans="1:22" ht="30.75" customHeight="1">
      <c r="A8" s="7">
        <v>6</v>
      </c>
      <c r="B8" s="8" t="s">
        <v>45</v>
      </c>
      <c r="C8" s="21" t="s">
        <v>85</v>
      </c>
      <c r="D8" s="24">
        <v>0</v>
      </c>
      <c r="E8" s="24">
        <v>3.98</v>
      </c>
      <c r="F8" s="21" t="s">
        <v>523</v>
      </c>
      <c r="G8" s="24">
        <v>0</v>
      </c>
      <c r="H8" s="24">
        <v>0.21</v>
      </c>
      <c r="I8" s="21" t="s">
        <v>523</v>
      </c>
      <c r="J8" s="24">
        <v>0</v>
      </c>
      <c r="K8" s="24">
        <v>11.15</v>
      </c>
      <c r="L8" s="21" t="s">
        <v>523</v>
      </c>
      <c r="M8" s="24">
        <v>0</v>
      </c>
      <c r="N8" s="24">
        <v>4.45</v>
      </c>
      <c r="O8" s="9">
        <f t="shared" si="6"/>
        <v>0</v>
      </c>
      <c r="P8" s="9">
        <f t="shared" si="0"/>
        <v>0</v>
      </c>
      <c r="Q8" s="9">
        <f t="shared" si="1"/>
        <v>0</v>
      </c>
      <c r="R8" s="48">
        <f t="shared" si="7"/>
        <v>18.95</v>
      </c>
      <c r="S8" s="48">
        <f t="shared" si="2"/>
        <v>-53.1</v>
      </c>
      <c r="T8" s="48">
        <f t="shared" si="3"/>
        <v>-2.8</v>
      </c>
      <c r="U8" s="48">
        <f t="shared" si="4"/>
        <v>-21.19</v>
      </c>
      <c r="V8" s="48">
        <f t="shared" si="5"/>
        <v>-1.1200000000000001</v>
      </c>
    </row>
    <row r="9" spans="1:22" ht="30.75" customHeight="1">
      <c r="A9" s="7">
        <v>7</v>
      </c>
      <c r="B9" s="8" t="s">
        <v>506</v>
      </c>
      <c r="C9" s="21" t="s">
        <v>86</v>
      </c>
      <c r="D9" s="24">
        <v>0</v>
      </c>
      <c r="E9" s="24">
        <v>10.130000000000001</v>
      </c>
      <c r="F9" s="21" t="s">
        <v>524</v>
      </c>
      <c r="G9" s="24">
        <v>0</v>
      </c>
      <c r="H9" s="24">
        <v>4.58</v>
      </c>
      <c r="I9" s="21" t="s">
        <v>524</v>
      </c>
      <c r="J9" s="24">
        <v>0</v>
      </c>
      <c r="K9" s="24">
        <v>12</v>
      </c>
      <c r="L9" s="21" t="s">
        <v>524</v>
      </c>
      <c r="M9" s="24">
        <v>0</v>
      </c>
      <c r="N9" s="24">
        <v>4.57</v>
      </c>
      <c r="O9" s="9">
        <f t="shared" si="6"/>
        <v>0</v>
      </c>
      <c r="P9" s="9">
        <f t="shared" si="0"/>
        <v>0</v>
      </c>
      <c r="Q9" s="9">
        <f t="shared" si="1"/>
        <v>0</v>
      </c>
      <c r="R9" s="48">
        <f t="shared" si="7"/>
        <v>2.21</v>
      </c>
      <c r="S9" s="48">
        <f t="shared" si="2"/>
        <v>-2.62</v>
      </c>
      <c r="T9" s="48">
        <f t="shared" si="3"/>
        <v>-1.18</v>
      </c>
      <c r="U9" s="48">
        <f t="shared" si="4"/>
        <v>1</v>
      </c>
      <c r="V9" s="48">
        <f t="shared" si="5"/>
        <v>2.2200000000000002</v>
      </c>
    </row>
    <row r="10" spans="1:22" ht="30.75" customHeight="1">
      <c r="A10" s="7">
        <v>8</v>
      </c>
      <c r="B10" s="8" t="s">
        <v>46</v>
      </c>
      <c r="C10" s="21" t="s">
        <v>87</v>
      </c>
      <c r="D10" s="24">
        <v>0.5</v>
      </c>
      <c r="E10" s="24">
        <v>917.21</v>
      </c>
      <c r="F10" s="21" t="s">
        <v>531</v>
      </c>
      <c r="G10" s="24">
        <v>0.5</v>
      </c>
      <c r="H10" s="24">
        <v>369.4</v>
      </c>
      <c r="I10" s="21" t="s">
        <v>531</v>
      </c>
      <c r="J10" s="24">
        <v>0.5</v>
      </c>
      <c r="K10" s="24">
        <v>81.78</v>
      </c>
      <c r="L10" s="21" t="s">
        <v>531</v>
      </c>
      <c r="M10" s="24">
        <v>0.5</v>
      </c>
      <c r="N10" s="24">
        <v>22.28</v>
      </c>
      <c r="O10" s="9">
        <f t="shared" si="6"/>
        <v>0</v>
      </c>
      <c r="P10" s="9">
        <f t="shared" si="0"/>
        <v>0</v>
      </c>
      <c r="Q10" s="9">
        <f t="shared" si="1"/>
        <v>0</v>
      </c>
      <c r="R10" s="48">
        <f t="shared" si="7"/>
        <v>2.48</v>
      </c>
      <c r="S10" s="48">
        <f t="shared" si="2"/>
        <v>4.5199999999999996</v>
      </c>
      <c r="T10" s="48">
        <f t="shared" si="3"/>
        <v>11.22</v>
      </c>
      <c r="U10" s="48">
        <f t="shared" si="4"/>
        <v>16.579999999999998</v>
      </c>
      <c r="V10" s="48">
        <f t="shared" si="5"/>
        <v>41.17</v>
      </c>
    </row>
    <row r="11" spans="1:22" ht="30.75" customHeight="1">
      <c r="A11" s="7">
        <v>9</v>
      </c>
      <c r="B11" s="8" t="s">
        <v>47</v>
      </c>
      <c r="C11" s="21" t="s">
        <v>88</v>
      </c>
      <c r="D11" s="24">
        <v>0</v>
      </c>
      <c r="E11" s="24">
        <v>186.09</v>
      </c>
      <c r="F11" s="21" t="s">
        <v>532</v>
      </c>
      <c r="G11" s="24">
        <v>0</v>
      </c>
      <c r="H11" s="24">
        <v>187.88</v>
      </c>
      <c r="I11" s="21" t="s">
        <v>553</v>
      </c>
      <c r="J11" s="24">
        <v>0</v>
      </c>
      <c r="K11" s="24">
        <v>43.9</v>
      </c>
      <c r="L11" s="21" t="s">
        <v>553</v>
      </c>
      <c r="M11" s="24">
        <v>0</v>
      </c>
      <c r="N11" s="24">
        <v>10.98</v>
      </c>
      <c r="O11" s="9">
        <f t="shared" si="6"/>
        <v>0</v>
      </c>
      <c r="P11" s="9">
        <f t="shared" si="0"/>
        <v>0</v>
      </c>
      <c r="Q11" s="9">
        <f t="shared" si="1"/>
        <v>0</v>
      </c>
      <c r="R11" s="48">
        <f t="shared" si="7"/>
        <v>-1.01</v>
      </c>
      <c r="S11" s="48">
        <f t="shared" si="2"/>
        <v>4.28</v>
      </c>
      <c r="T11" s="48">
        <f t="shared" si="3"/>
        <v>4.24</v>
      </c>
      <c r="U11" s="48">
        <f t="shared" si="4"/>
        <v>17.11</v>
      </c>
      <c r="V11" s="48">
        <f t="shared" si="5"/>
        <v>16.95</v>
      </c>
    </row>
    <row r="12" spans="1:22" ht="30.75" customHeight="1">
      <c r="A12" s="7">
        <v>10</v>
      </c>
      <c r="B12" s="8" t="s">
        <v>48</v>
      </c>
      <c r="C12" s="21" t="s">
        <v>91</v>
      </c>
      <c r="D12" s="24">
        <v>0</v>
      </c>
      <c r="E12" s="24">
        <v>259.45999999999998</v>
      </c>
      <c r="F12" s="21" t="s">
        <v>533</v>
      </c>
      <c r="G12" s="24">
        <v>0</v>
      </c>
      <c r="H12" s="24">
        <v>196.76</v>
      </c>
      <c r="I12" s="21" t="s">
        <v>533</v>
      </c>
      <c r="J12" s="24">
        <v>0</v>
      </c>
      <c r="K12" s="24">
        <v>44.22</v>
      </c>
      <c r="L12" s="21" t="s">
        <v>533</v>
      </c>
      <c r="M12" s="24">
        <v>0</v>
      </c>
      <c r="N12" s="24">
        <v>12.18</v>
      </c>
      <c r="O12" s="9">
        <f t="shared" si="6"/>
        <v>0</v>
      </c>
      <c r="P12" s="9">
        <f t="shared" si="0"/>
        <v>0</v>
      </c>
      <c r="Q12" s="9">
        <f t="shared" si="1"/>
        <v>0</v>
      </c>
      <c r="R12" s="48">
        <f t="shared" si="7"/>
        <v>1.32</v>
      </c>
      <c r="S12" s="48">
        <f t="shared" si="2"/>
        <v>4.45</v>
      </c>
      <c r="T12" s="48">
        <f t="shared" si="3"/>
        <v>5.87</v>
      </c>
      <c r="U12" s="48">
        <f t="shared" si="4"/>
        <v>16.149999999999999</v>
      </c>
      <c r="V12" s="48">
        <f t="shared" si="5"/>
        <v>21.3</v>
      </c>
    </row>
    <row r="13" spans="1:22" ht="30.75" customHeight="1">
      <c r="A13" s="7">
        <v>11</v>
      </c>
      <c r="B13" s="8" t="s">
        <v>49</v>
      </c>
      <c r="C13" s="21" t="s">
        <v>92</v>
      </c>
      <c r="D13" s="24">
        <v>0</v>
      </c>
      <c r="E13" s="24">
        <v>128.31</v>
      </c>
      <c r="F13" s="21" t="s">
        <v>534</v>
      </c>
      <c r="G13" s="24">
        <v>0</v>
      </c>
      <c r="H13" s="24">
        <v>88.09</v>
      </c>
      <c r="I13" s="21" t="s">
        <v>534</v>
      </c>
      <c r="J13" s="24">
        <v>0</v>
      </c>
      <c r="K13" s="24">
        <v>26.84</v>
      </c>
      <c r="L13" s="21" t="s">
        <v>534</v>
      </c>
      <c r="M13" s="24">
        <v>0</v>
      </c>
      <c r="N13" s="24">
        <v>8.4600000000000009</v>
      </c>
      <c r="O13" s="9">
        <f t="shared" si="6"/>
        <v>0</v>
      </c>
      <c r="P13" s="9">
        <f t="shared" si="0"/>
        <v>0</v>
      </c>
      <c r="Q13" s="9">
        <f t="shared" si="1"/>
        <v>0</v>
      </c>
      <c r="R13" s="48">
        <f t="shared" si="7"/>
        <v>1.46</v>
      </c>
      <c r="S13" s="48">
        <f t="shared" si="2"/>
        <v>3.28</v>
      </c>
      <c r="T13" s="48">
        <f t="shared" si="3"/>
        <v>4.78</v>
      </c>
      <c r="U13" s="48">
        <f t="shared" si="4"/>
        <v>10.41</v>
      </c>
      <c r="V13" s="48">
        <f t="shared" si="5"/>
        <v>15.17</v>
      </c>
    </row>
    <row r="14" spans="1:22" ht="30.75" customHeight="1">
      <c r="A14" s="7">
        <v>12</v>
      </c>
      <c r="B14" s="8" t="s">
        <v>50</v>
      </c>
      <c r="C14" s="21" t="s">
        <v>89</v>
      </c>
      <c r="D14" s="24">
        <v>0</v>
      </c>
      <c r="E14" s="24">
        <v>3.91</v>
      </c>
      <c r="F14" s="21" t="s">
        <v>535</v>
      </c>
      <c r="G14" s="24">
        <v>0</v>
      </c>
      <c r="H14" s="24">
        <v>0.2</v>
      </c>
      <c r="I14" s="21" t="s">
        <v>535</v>
      </c>
      <c r="J14" s="24">
        <v>0</v>
      </c>
      <c r="K14" s="24">
        <v>10.97</v>
      </c>
      <c r="L14" s="21" t="s">
        <v>535</v>
      </c>
      <c r="M14" s="24">
        <v>0</v>
      </c>
      <c r="N14" s="24">
        <v>4.92</v>
      </c>
      <c r="O14" s="9">
        <f t="shared" si="6"/>
        <v>0</v>
      </c>
      <c r="P14" s="9">
        <f t="shared" si="0"/>
        <v>0</v>
      </c>
      <c r="Q14" s="9">
        <f t="shared" si="1"/>
        <v>0</v>
      </c>
      <c r="R14" s="48">
        <f t="shared" si="7"/>
        <v>19.55</v>
      </c>
      <c r="S14" s="48">
        <f>ROUND(IF(H14&lt;K14, -(K14/IF(H14=0,1,H14)), IF(H14=0,1,H14)/IF(K14=0,1,K14)), 2)</f>
        <v>-54.85</v>
      </c>
      <c r="T14" s="48">
        <f t="shared" si="3"/>
        <v>-2.81</v>
      </c>
      <c r="U14" s="48">
        <f t="shared" si="4"/>
        <v>-24.6</v>
      </c>
      <c r="V14" s="48">
        <f t="shared" si="5"/>
        <v>-1.26</v>
      </c>
    </row>
    <row r="15" spans="1:22" ht="30.75" customHeight="1">
      <c r="A15" s="7">
        <v>13</v>
      </c>
      <c r="B15" s="8" t="s">
        <v>51</v>
      </c>
      <c r="C15" s="21" t="s">
        <v>90</v>
      </c>
      <c r="D15" s="24">
        <v>0</v>
      </c>
      <c r="E15" s="24">
        <v>4.03</v>
      </c>
      <c r="F15" s="21" t="s">
        <v>536</v>
      </c>
      <c r="G15" s="24">
        <v>0</v>
      </c>
      <c r="H15" s="24">
        <v>0.2</v>
      </c>
      <c r="I15" s="21" t="s">
        <v>536</v>
      </c>
      <c r="J15" s="24">
        <v>0</v>
      </c>
      <c r="K15" s="24">
        <v>10.93</v>
      </c>
      <c r="L15" s="21" t="s">
        <v>536</v>
      </c>
      <c r="M15" s="24">
        <v>0</v>
      </c>
      <c r="N15" s="24">
        <v>4.4000000000000004</v>
      </c>
      <c r="O15" s="9">
        <f t="shared" si="6"/>
        <v>0</v>
      </c>
      <c r="P15" s="9">
        <f t="shared" si="0"/>
        <v>0</v>
      </c>
      <c r="Q15" s="9">
        <f t="shared" si="1"/>
        <v>0</v>
      </c>
      <c r="R15" s="48">
        <f t="shared" si="7"/>
        <v>20.149999999999999</v>
      </c>
      <c r="S15" s="48">
        <f t="shared" si="2"/>
        <v>-54.65</v>
      </c>
      <c r="T15" s="48">
        <f t="shared" si="3"/>
        <v>-2.71</v>
      </c>
      <c r="U15" s="48">
        <f t="shared" si="4"/>
        <v>-22</v>
      </c>
      <c r="V15" s="48">
        <f t="shared" si="5"/>
        <v>-1.0900000000000001</v>
      </c>
    </row>
    <row r="16" spans="1:22" ht="30.75" customHeight="1">
      <c r="A16" s="7">
        <v>14</v>
      </c>
      <c r="B16" s="8" t="s">
        <v>507</v>
      </c>
      <c r="C16" s="21" t="s">
        <v>93</v>
      </c>
      <c r="D16" s="24">
        <v>0</v>
      </c>
      <c r="E16" s="24">
        <v>9.3800000000000008</v>
      </c>
      <c r="F16" s="21" t="s">
        <v>537</v>
      </c>
      <c r="G16" s="24">
        <v>0</v>
      </c>
      <c r="H16" s="24">
        <v>5</v>
      </c>
      <c r="I16" s="21" t="s">
        <v>537</v>
      </c>
      <c r="J16" s="24">
        <v>0</v>
      </c>
      <c r="K16" s="24">
        <v>12.01</v>
      </c>
      <c r="L16" s="21" t="s">
        <v>537</v>
      </c>
      <c r="M16" s="24">
        <v>0</v>
      </c>
      <c r="N16" s="24">
        <v>5.38</v>
      </c>
      <c r="O16" s="9">
        <f t="shared" si="6"/>
        <v>0</v>
      </c>
      <c r="P16" s="9">
        <f t="shared" si="0"/>
        <v>0</v>
      </c>
      <c r="Q16" s="9">
        <f t="shared" si="1"/>
        <v>0</v>
      </c>
      <c r="R16" s="48">
        <f t="shared" si="7"/>
        <v>1.88</v>
      </c>
      <c r="S16" s="48">
        <f t="shared" si="2"/>
        <v>-2.4</v>
      </c>
      <c r="T16" s="48">
        <f t="shared" si="3"/>
        <v>-1.28</v>
      </c>
      <c r="U16" s="48">
        <f t="shared" si="4"/>
        <v>-1.08</v>
      </c>
      <c r="V16" s="48">
        <f t="shared" si="5"/>
        <v>1.74</v>
      </c>
    </row>
    <row r="17" spans="1:22" ht="30.75" customHeight="1">
      <c r="A17" s="7">
        <v>15</v>
      </c>
      <c r="B17" s="8" t="s">
        <v>52</v>
      </c>
      <c r="C17" s="21" t="s">
        <v>94</v>
      </c>
      <c r="D17" s="24">
        <v>0.5</v>
      </c>
      <c r="E17" s="24">
        <v>1006.57</v>
      </c>
      <c r="F17" s="21" t="s">
        <v>538</v>
      </c>
      <c r="G17" s="24">
        <v>0.5</v>
      </c>
      <c r="H17" s="24">
        <v>382.28</v>
      </c>
      <c r="I17" s="21" t="s">
        <v>538</v>
      </c>
      <c r="J17" s="24">
        <v>0.5</v>
      </c>
      <c r="K17" s="24">
        <v>87.78</v>
      </c>
      <c r="L17" s="21" t="s">
        <v>538</v>
      </c>
      <c r="M17" s="24">
        <v>0.5</v>
      </c>
      <c r="N17" s="24">
        <v>21.78</v>
      </c>
      <c r="O17" s="9">
        <f t="shared" si="6"/>
        <v>0</v>
      </c>
      <c r="P17" s="9">
        <f t="shared" si="0"/>
        <v>0</v>
      </c>
      <c r="Q17" s="9">
        <f t="shared" si="1"/>
        <v>0</v>
      </c>
      <c r="R17" s="48">
        <f t="shared" si="7"/>
        <v>2.63</v>
      </c>
      <c r="S17" s="48">
        <f t="shared" si="2"/>
        <v>4.3499999999999996</v>
      </c>
      <c r="T17" s="48">
        <f t="shared" si="3"/>
        <v>11.47</v>
      </c>
      <c r="U17" s="48">
        <f t="shared" si="4"/>
        <v>17.55</v>
      </c>
      <c r="V17" s="48">
        <f t="shared" si="5"/>
        <v>46.22</v>
      </c>
    </row>
    <row r="18" spans="1:22" ht="30.75" customHeight="1">
      <c r="A18" s="7">
        <v>16</v>
      </c>
      <c r="B18" s="8" t="s">
        <v>53</v>
      </c>
      <c r="C18" s="21" t="s">
        <v>95</v>
      </c>
      <c r="D18" s="24">
        <v>0</v>
      </c>
      <c r="E18" s="24">
        <v>181.9</v>
      </c>
      <c r="F18" s="21" t="s">
        <v>539</v>
      </c>
      <c r="G18" s="24">
        <v>0</v>
      </c>
      <c r="H18" s="24">
        <v>172.86</v>
      </c>
      <c r="I18" s="21" t="s">
        <v>539</v>
      </c>
      <c r="J18" s="24">
        <v>0</v>
      </c>
      <c r="K18" s="24">
        <v>45.03</v>
      </c>
      <c r="L18" s="21" t="s">
        <v>539</v>
      </c>
      <c r="M18" s="24">
        <v>0</v>
      </c>
      <c r="N18" s="24">
        <v>10.48</v>
      </c>
      <c r="O18" s="9">
        <f t="shared" si="6"/>
        <v>0</v>
      </c>
      <c r="P18" s="9">
        <f t="shared" si="0"/>
        <v>0</v>
      </c>
      <c r="Q18" s="9">
        <f t="shared" si="1"/>
        <v>0</v>
      </c>
      <c r="R18" s="48">
        <f t="shared" si="7"/>
        <v>1.05</v>
      </c>
      <c r="S18" s="48">
        <f t="shared" si="2"/>
        <v>3.84</v>
      </c>
      <c r="T18" s="48">
        <f t="shared" si="3"/>
        <v>4.04</v>
      </c>
      <c r="U18" s="48">
        <f t="shared" si="4"/>
        <v>16.489999999999998</v>
      </c>
      <c r="V18" s="48">
        <f t="shared" si="5"/>
        <v>17.36</v>
      </c>
    </row>
    <row r="19" spans="1:22" ht="30.75" customHeight="1">
      <c r="A19" s="7">
        <v>17</v>
      </c>
      <c r="B19" s="8" t="s">
        <v>54</v>
      </c>
      <c r="C19" s="21" t="s">
        <v>96</v>
      </c>
      <c r="D19" s="24">
        <v>0</v>
      </c>
      <c r="E19" s="24">
        <v>256.27</v>
      </c>
      <c r="F19" s="21" t="s">
        <v>540</v>
      </c>
      <c r="G19" s="24">
        <v>0</v>
      </c>
      <c r="H19" s="24">
        <v>179.64</v>
      </c>
      <c r="I19" s="21" t="s">
        <v>540</v>
      </c>
      <c r="J19" s="24">
        <v>0</v>
      </c>
      <c r="K19" s="24">
        <v>46.98</v>
      </c>
      <c r="L19" s="21" t="s">
        <v>540</v>
      </c>
      <c r="M19" s="24">
        <v>0</v>
      </c>
      <c r="N19" s="24">
        <v>11.78</v>
      </c>
      <c r="O19" s="9">
        <f t="shared" si="6"/>
        <v>0</v>
      </c>
      <c r="P19" s="9">
        <f t="shared" si="0"/>
        <v>0</v>
      </c>
      <c r="Q19" s="9">
        <f t="shared" si="1"/>
        <v>0</v>
      </c>
      <c r="R19" s="48">
        <f t="shared" si="7"/>
        <v>1.43</v>
      </c>
      <c r="S19" s="48">
        <f t="shared" si="2"/>
        <v>3.82</v>
      </c>
      <c r="T19" s="48">
        <f t="shared" si="3"/>
        <v>5.45</v>
      </c>
      <c r="U19" s="48">
        <f t="shared" si="4"/>
        <v>15.25</v>
      </c>
      <c r="V19" s="48">
        <f t="shared" si="5"/>
        <v>21.75</v>
      </c>
    </row>
    <row r="20" spans="1:22" ht="30.75" customHeight="1">
      <c r="A20" s="7">
        <v>18</v>
      </c>
      <c r="B20" s="8" t="s">
        <v>55</v>
      </c>
      <c r="C20" s="21" t="s">
        <v>97</v>
      </c>
      <c r="D20" s="24">
        <v>0</v>
      </c>
      <c r="E20" s="24">
        <v>131.72</v>
      </c>
      <c r="F20" s="21" t="s">
        <v>541</v>
      </c>
      <c r="G20" s="24">
        <v>0</v>
      </c>
      <c r="H20" s="24">
        <v>88.62</v>
      </c>
      <c r="I20" s="21" t="s">
        <v>541</v>
      </c>
      <c r="J20" s="24">
        <v>0</v>
      </c>
      <c r="K20" s="24">
        <v>27.63</v>
      </c>
      <c r="L20" s="21" t="s">
        <v>541</v>
      </c>
      <c r="M20" s="24">
        <v>0</v>
      </c>
      <c r="N20" s="24">
        <v>7.4</v>
      </c>
      <c r="O20" s="9">
        <f t="shared" si="6"/>
        <v>0</v>
      </c>
      <c r="P20" s="9">
        <f t="shared" si="0"/>
        <v>0</v>
      </c>
      <c r="Q20" s="9">
        <f t="shared" si="1"/>
        <v>0</v>
      </c>
      <c r="R20" s="48">
        <f t="shared" si="7"/>
        <v>1.49</v>
      </c>
      <c r="S20" s="48">
        <f t="shared" si="2"/>
        <v>3.21</v>
      </c>
      <c r="T20" s="48">
        <f t="shared" si="3"/>
        <v>4.7699999999999996</v>
      </c>
      <c r="U20" s="48">
        <f t="shared" si="4"/>
        <v>11.98</v>
      </c>
      <c r="V20" s="48">
        <f t="shared" si="5"/>
        <v>17.8</v>
      </c>
    </row>
    <row r="21" spans="1:22" ht="30.75" customHeight="1">
      <c r="A21" s="7">
        <v>19</v>
      </c>
      <c r="B21" s="8" t="s">
        <v>56</v>
      </c>
      <c r="C21" s="21" t="s">
        <v>98</v>
      </c>
      <c r="D21" s="24">
        <v>0</v>
      </c>
      <c r="E21" s="24">
        <v>4.22</v>
      </c>
      <c r="F21" s="21" t="s">
        <v>542</v>
      </c>
      <c r="G21" s="24">
        <v>0</v>
      </c>
      <c r="H21" s="24">
        <v>0.21</v>
      </c>
      <c r="I21" s="21" t="s">
        <v>542</v>
      </c>
      <c r="J21" s="24">
        <v>0</v>
      </c>
      <c r="K21" s="24">
        <v>11.85</v>
      </c>
      <c r="L21" s="21" t="s">
        <v>542</v>
      </c>
      <c r="M21" s="24">
        <v>0</v>
      </c>
      <c r="N21" s="24">
        <v>4.57</v>
      </c>
      <c r="O21" s="9">
        <f t="shared" si="6"/>
        <v>0</v>
      </c>
      <c r="P21" s="9">
        <f t="shared" si="0"/>
        <v>0</v>
      </c>
      <c r="Q21" s="9">
        <f t="shared" si="1"/>
        <v>0</v>
      </c>
      <c r="R21" s="48">
        <f t="shared" si="7"/>
        <v>20.100000000000001</v>
      </c>
      <c r="S21" s="48">
        <f t="shared" si="2"/>
        <v>-56.43</v>
      </c>
      <c r="T21" s="48">
        <f t="shared" si="3"/>
        <v>-2.81</v>
      </c>
      <c r="U21" s="48">
        <f t="shared" si="4"/>
        <v>-21.76</v>
      </c>
      <c r="V21" s="48">
        <f t="shared" si="5"/>
        <v>-1.08</v>
      </c>
    </row>
    <row r="22" spans="1:22" ht="30.75" customHeight="1">
      <c r="A22" s="7">
        <v>20</v>
      </c>
      <c r="B22" s="8" t="s">
        <v>57</v>
      </c>
      <c r="C22" s="21" t="s">
        <v>99</v>
      </c>
      <c r="D22" s="24">
        <v>0</v>
      </c>
      <c r="E22" s="24">
        <v>4.1900000000000004</v>
      </c>
      <c r="F22" s="21" t="s">
        <v>543</v>
      </c>
      <c r="G22" s="24">
        <v>0</v>
      </c>
      <c r="H22" s="24">
        <v>0.21</v>
      </c>
      <c r="I22" s="21" t="s">
        <v>543</v>
      </c>
      <c r="J22" s="24">
        <v>0</v>
      </c>
      <c r="K22" s="24">
        <v>11.49</v>
      </c>
      <c r="L22" s="21" t="s">
        <v>543</v>
      </c>
      <c r="M22" s="24">
        <v>0</v>
      </c>
      <c r="N22" s="24">
        <v>4.83</v>
      </c>
      <c r="O22" s="9">
        <f t="shared" si="6"/>
        <v>0</v>
      </c>
      <c r="P22" s="9">
        <f t="shared" si="0"/>
        <v>0</v>
      </c>
      <c r="Q22" s="9">
        <f t="shared" si="1"/>
        <v>0</v>
      </c>
      <c r="R22" s="48">
        <f t="shared" si="7"/>
        <v>19.95</v>
      </c>
      <c r="S22" s="48">
        <f t="shared" si="2"/>
        <v>-54.71</v>
      </c>
      <c r="T22" s="48">
        <f t="shared" si="3"/>
        <v>-2.74</v>
      </c>
      <c r="U22" s="48">
        <f t="shared" si="4"/>
        <v>-23</v>
      </c>
      <c r="V22" s="48">
        <f t="shared" si="5"/>
        <v>-1.1499999999999999</v>
      </c>
    </row>
    <row r="23" spans="1:22" ht="30.75" customHeight="1">
      <c r="A23" s="7">
        <v>21</v>
      </c>
      <c r="B23" s="8" t="s">
        <v>508</v>
      </c>
      <c r="C23" s="21" t="s">
        <v>100</v>
      </c>
      <c r="D23" s="24">
        <v>0</v>
      </c>
      <c r="E23" s="24">
        <v>10.35</v>
      </c>
      <c r="F23" s="21" t="s">
        <v>544</v>
      </c>
      <c r="G23" s="24">
        <v>0</v>
      </c>
      <c r="H23" s="24">
        <v>4.4000000000000004</v>
      </c>
      <c r="I23" s="21" t="s">
        <v>544</v>
      </c>
      <c r="J23" s="24">
        <v>0</v>
      </c>
      <c r="K23" s="24">
        <v>13.97</v>
      </c>
      <c r="L23" s="21" t="s">
        <v>544</v>
      </c>
      <c r="M23" s="24">
        <v>0</v>
      </c>
      <c r="N23" s="24">
        <v>4.49</v>
      </c>
      <c r="O23" s="9">
        <f t="shared" si="6"/>
        <v>0</v>
      </c>
      <c r="P23" s="9">
        <f t="shared" si="0"/>
        <v>0</v>
      </c>
      <c r="Q23" s="9">
        <f t="shared" si="1"/>
        <v>0</v>
      </c>
      <c r="R23" s="48">
        <f t="shared" si="7"/>
        <v>2.35</v>
      </c>
      <c r="S23" s="48">
        <f t="shared" si="2"/>
        <v>-3.18</v>
      </c>
      <c r="T23" s="48">
        <f t="shared" si="3"/>
        <v>-1.35</v>
      </c>
      <c r="U23" s="48">
        <f t="shared" si="4"/>
        <v>-1.02</v>
      </c>
      <c r="V23" s="48">
        <f t="shared" si="5"/>
        <v>2.31</v>
      </c>
    </row>
    <row r="24" spans="1:22" ht="30.75" customHeight="1">
      <c r="A24" s="7">
        <v>22</v>
      </c>
      <c r="B24" s="8" t="s">
        <v>58</v>
      </c>
      <c r="C24" s="21" t="s">
        <v>101</v>
      </c>
      <c r="D24" s="24">
        <v>0.5</v>
      </c>
      <c r="E24" s="24">
        <v>759.19</v>
      </c>
      <c r="F24" s="21" t="s">
        <v>545</v>
      </c>
      <c r="G24" s="24">
        <v>0.5</v>
      </c>
      <c r="H24" s="24">
        <v>357.04</v>
      </c>
      <c r="I24" s="21" t="s">
        <v>545</v>
      </c>
      <c r="J24" s="24">
        <v>0.5</v>
      </c>
      <c r="K24" s="24">
        <v>85.94</v>
      </c>
      <c r="L24" s="21" t="s">
        <v>545</v>
      </c>
      <c r="M24" s="24">
        <v>0.5</v>
      </c>
      <c r="N24" s="24">
        <v>19.43</v>
      </c>
      <c r="O24" s="9">
        <f t="shared" si="6"/>
        <v>0</v>
      </c>
      <c r="P24" s="9">
        <f t="shared" si="0"/>
        <v>0</v>
      </c>
      <c r="Q24" s="9">
        <f t="shared" si="1"/>
        <v>0</v>
      </c>
      <c r="R24" s="48">
        <f t="shared" si="7"/>
        <v>2.13</v>
      </c>
      <c r="S24" s="48">
        <f t="shared" si="2"/>
        <v>4.1500000000000004</v>
      </c>
      <c r="T24" s="48">
        <f t="shared" si="3"/>
        <v>8.83</v>
      </c>
      <c r="U24" s="48">
        <f t="shared" si="4"/>
        <v>18.38</v>
      </c>
      <c r="V24" s="48">
        <f t="shared" si="5"/>
        <v>39.07</v>
      </c>
    </row>
    <row r="25" spans="1:22" ht="30.75" customHeight="1">
      <c r="A25" s="7">
        <v>23</v>
      </c>
      <c r="B25" s="8" t="s">
        <v>59</v>
      </c>
      <c r="C25" s="21" t="s">
        <v>102</v>
      </c>
      <c r="D25" s="24">
        <v>0</v>
      </c>
      <c r="E25" s="24">
        <v>160.5</v>
      </c>
      <c r="F25" s="21" t="s">
        <v>546</v>
      </c>
      <c r="G25" s="24">
        <v>0</v>
      </c>
      <c r="H25" s="24">
        <v>165.32</v>
      </c>
      <c r="I25" s="21" t="s">
        <v>546</v>
      </c>
      <c r="J25" s="24">
        <v>0</v>
      </c>
      <c r="K25" s="24">
        <v>45.53</v>
      </c>
      <c r="L25" s="21" t="s">
        <v>546</v>
      </c>
      <c r="M25" s="24">
        <v>0</v>
      </c>
      <c r="N25" s="24">
        <v>9.83</v>
      </c>
      <c r="O25" s="9">
        <f t="shared" si="6"/>
        <v>0</v>
      </c>
      <c r="P25" s="9">
        <f t="shared" si="0"/>
        <v>0</v>
      </c>
      <c r="Q25" s="9">
        <f t="shared" si="1"/>
        <v>0</v>
      </c>
      <c r="R25" s="48">
        <f t="shared" si="7"/>
        <v>-1.03</v>
      </c>
      <c r="S25" s="48">
        <f t="shared" si="2"/>
        <v>3.63</v>
      </c>
      <c r="T25" s="48">
        <f t="shared" si="3"/>
        <v>3.53</v>
      </c>
      <c r="U25" s="48">
        <f t="shared" si="4"/>
        <v>16.82</v>
      </c>
      <c r="V25" s="48">
        <f t="shared" si="5"/>
        <v>16.329999999999998</v>
      </c>
    </row>
    <row r="26" spans="1:22" ht="30.75" customHeight="1">
      <c r="A26" s="7">
        <v>24</v>
      </c>
      <c r="B26" s="8" t="s">
        <v>60</v>
      </c>
      <c r="C26" s="21" t="s">
        <v>103</v>
      </c>
      <c r="D26" s="24">
        <v>0</v>
      </c>
      <c r="E26" s="24">
        <v>165.16</v>
      </c>
      <c r="F26" s="21" t="s">
        <v>547</v>
      </c>
      <c r="G26" s="24">
        <v>0</v>
      </c>
      <c r="H26" s="24">
        <v>167.27</v>
      </c>
      <c r="I26" s="21" t="s">
        <v>547</v>
      </c>
      <c r="J26" s="24">
        <v>0</v>
      </c>
      <c r="K26" s="24">
        <v>47.75</v>
      </c>
      <c r="L26" s="21" t="s">
        <v>547</v>
      </c>
      <c r="M26" s="24">
        <v>0</v>
      </c>
      <c r="N26" s="24">
        <v>11.25</v>
      </c>
      <c r="O26" s="9">
        <f t="shared" si="6"/>
        <v>0</v>
      </c>
      <c r="P26" s="9">
        <f t="shared" si="0"/>
        <v>0</v>
      </c>
      <c r="Q26" s="9">
        <f t="shared" si="1"/>
        <v>0</v>
      </c>
      <c r="R26" s="48">
        <f t="shared" si="7"/>
        <v>-1.01</v>
      </c>
      <c r="S26" s="48">
        <f t="shared" si="2"/>
        <v>3.5</v>
      </c>
      <c r="T26" s="48">
        <f t="shared" si="3"/>
        <v>3.46</v>
      </c>
      <c r="U26" s="48">
        <f t="shared" si="4"/>
        <v>14.87</v>
      </c>
      <c r="V26" s="48">
        <f t="shared" si="5"/>
        <v>14.68</v>
      </c>
    </row>
    <row r="27" spans="1:22" ht="30.75" customHeight="1">
      <c r="A27" s="7">
        <v>25</v>
      </c>
      <c r="B27" s="8" t="s">
        <v>61</v>
      </c>
      <c r="C27" s="21" t="s">
        <v>104</v>
      </c>
      <c r="D27" s="24">
        <v>0</v>
      </c>
      <c r="E27" s="24">
        <v>57.56</v>
      </c>
      <c r="F27" s="21" t="s">
        <v>548</v>
      </c>
      <c r="G27" s="24">
        <v>0</v>
      </c>
      <c r="H27" s="24">
        <v>77.709999999999994</v>
      </c>
      <c r="I27" s="21" t="s">
        <v>548</v>
      </c>
      <c r="J27" s="24">
        <v>0</v>
      </c>
      <c r="K27" s="24">
        <v>28.47</v>
      </c>
      <c r="L27" s="21" t="s">
        <v>548</v>
      </c>
      <c r="M27" s="24">
        <v>0</v>
      </c>
      <c r="N27" s="24">
        <v>8.67</v>
      </c>
      <c r="O27" s="9">
        <f t="shared" si="6"/>
        <v>0</v>
      </c>
      <c r="P27" s="9">
        <f t="shared" si="0"/>
        <v>0</v>
      </c>
      <c r="Q27" s="9">
        <f t="shared" si="1"/>
        <v>0</v>
      </c>
      <c r="R27" s="48">
        <f t="shared" si="7"/>
        <v>-1.35</v>
      </c>
      <c r="S27" s="48">
        <f t="shared" si="2"/>
        <v>2.73</v>
      </c>
      <c r="T27" s="48">
        <f t="shared" si="3"/>
        <v>2.02</v>
      </c>
      <c r="U27" s="48">
        <f t="shared" si="4"/>
        <v>8.9600000000000009</v>
      </c>
      <c r="V27" s="48">
        <f t="shared" si="5"/>
        <v>6.64</v>
      </c>
    </row>
    <row r="28" spans="1:22" ht="30.75" customHeight="1">
      <c r="A28" s="7">
        <v>26</v>
      </c>
      <c r="B28" s="8" t="s">
        <v>62</v>
      </c>
      <c r="C28" s="21" t="s">
        <v>105</v>
      </c>
      <c r="D28" s="24">
        <v>0</v>
      </c>
      <c r="E28" s="24">
        <v>2.95</v>
      </c>
      <c r="F28" s="21" t="s">
        <v>549</v>
      </c>
      <c r="G28" s="24">
        <v>0</v>
      </c>
      <c r="H28" s="24">
        <v>0.2</v>
      </c>
      <c r="I28" s="21" t="s">
        <v>549</v>
      </c>
      <c r="J28" s="24">
        <v>0</v>
      </c>
      <c r="K28" s="24">
        <v>12.08</v>
      </c>
      <c r="L28" s="21" t="s">
        <v>549</v>
      </c>
      <c r="M28" s="24">
        <v>0</v>
      </c>
      <c r="N28" s="24">
        <v>4.51</v>
      </c>
      <c r="O28" s="9">
        <f t="shared" si="6"/>
        <v>0</v>
      </c>
      <c r="P28" s="9">
        <f t="shared" si="0"/>
        <v>0</v>
      </c>
      <c r="Q28" s="9">
        <f t="shared" si="1"/>
        <v>0</v>
      </c>
      <c r="R28" s="48">
        <f t="shared" si="7"/>
        <v>14.75</v>
      </c>
      <c r="S28" s="48">
        <f t="shared" si="2"/>
        <v>-60.4</v>
      </c>
      <c r="T28" s="48">
        <f t="shared" si="3"/>
        <v>-4.09</v>
      </c>
      <c r="U28" s="48">
        <f t="shared" si="4"/>
        <v>-22.55</v>
      </c>
      <c r="V28" s="48">
        <f t="shared" si="5"/>
        <v>-1.53</v>
      </c>
    </row>
    <row r="29" spans="1:22" ht="30.75" customHeight="1">
      <c r="A29" s="7">
        <v>27</v>
      </c>
      <c r="B29" s="8" t="s">
        <v>63</v>
      </c>
      <c r="C29" s="21" t="s">
        <v>106</v>
      </c>
      <c r="D29" s="24">
        <v>0</v>
      </c>
      <c r="E29" s="24">
        <v>2.9</v>
      </c>
      <c r="F29" s="21" t="s">
        <v>550</v>
      </c>
      <c r="G29" s="24">
        <v>0</v>
      </c>
      <c r="H29" s="24">
        <v>0.19</v>
      </c>
      <c r="I29" s="21" t="s">
        <v>550</v>
      </c>
      <c r="J29" s="24">
        <v>0</v>
      </c>
      <c r="K29" s="24">
        <v>11.31</v>
      </c>
      <c r="L29" s="21" t="s">
        <v>550</v>
      </c>
      <c r="M29" s="24">
        <v>0</v>
      </c>
      <c r="N29" s="24">
        <v>4.67</v>
      </c>
      <c r="O29" s="9">
        <f t="shared" si="6"/>
        <v>0</v>
      </c>
      <c r="P29" s="9">
        <f t="shared" si="0"/>
        <v>0</v>
      </c>
      <c r="Q29" s="9">
        <f t="shared" si="1"/>
        <v>0</v>
      </c>
      <c r="R29" s="48">
        <f t="shared" si="7"/>
        <v>15.26</v>
      </c>
      <c r="S29" s="48">
        <f t="shared" si="2"/>
        <v>-59.53</v>
      </c>
      <c r="T29" s="48">
        <f t="shared" si="3"/>
        <v>-3.9</v>
      </c>
      <c r="U29" s="48">
        <f t="shared" si="4"/>
        <v>-24.58</v>
      </c>
      <c r="V29" s="48">
        <f t="shared" si="5"/>
        <v>-1.61</v>
      </c>
    </row>
    <row r="30" spans="1:22" ht="30.75" customHeight="1">
      <c r="A30" s="7">
        <v>28</v>
      </c>
      <c r="B30" s="8" t="s">
        <v>509</v>
      </c>
      <c r="C30" s="21" t="s">
        <v>107</v>
      </c>
      <c r="D30" s="24">
        <v>0</v>
      </c>
      <c r="E30" s="24">
        <v>6.51</v>
      </c>
      <c r="F30" s="21" t="s">
        <v>551</v>
      </c>
      <c r="G30" s="24">
        <v>0</v>
      </c>
      <c r="H30" s="24">
        <v>3.78</v>
      </c>
      <c r="I30" s="21" t="s">
        <v>551</v>
      </c>
      <c r="J30" s="24">
        <v>0</v>
      </c>
      <c r="K30" s="24">
        <v>12.4</v>
      </c>
      <c r="L30" s="21" t="s">
        <v>551</v>
      </c>
      <c r="M30" s="24">
        <v>0</v>
      </c>
      <c r="N30" s="24">
        <v>4.3899999999999997</v>
      </c>
      <c r="O30" s="9">
        <f t="shared" si="6"/>
        <v>0</v>
      </c>
      <c r="P30" s="9">
        <f t="shared" si="0"/>
        <v>0</v>
      </c>
      <c r="Q30" s="9">
        <f t="shared" si="1"/>
        <v>0</v>
      </c>
      <c r="R30" s="48">
        <f t="shared" si="7"/>
        <v>1.72</v>
      </c>
      <c r="S30" s="48">
        <f t="shared" si="2"/>
        <v>-3.28</v>
      </c>
      <c r="T30" s="48">
        <f t="shared" si="3"/>
        <v>-1.9</v>
      </c>
      <c r="U30" s="48">
        <f t="shared" si="4"/>
        <v>-1.1599999999999999</v>
      </c>
      <c r="V30" s="48">
        <f t="shared" si="5"/>
        <v>1.48</v>
      </c>
    </row>
    <row r="31" spans="1:22" ht="30.75" customHeight="1">
      <c r="A31" s="7">
        <v>29</v>
      </c>
      <c r="B31" s="7" t="s">
        <v>64</v>
      </c>
      <c r="C31" s="21" t="s">
        <v>108</v>
      </c>
      <c r="D31" s="24">
        <v>0.5</v>
      </c>
      <c r="E31" s="24">
        <v>304</v>
      </c>
      <c r="F31" s="21" t="s">
        <v>554</v>
      </c>
      <c r="G31" s="24">
        <v>0.5</v>
      </c>
      <c r="H31" s="24">
        <v>184</v>
      </c>
      <c r="I31" s="21" t="s">
        <v>554</v>
      </c>
      <c r="J31" s="24">
        <v>0.5</v>
      </c>
      <c r="K31" s="24">
        <v>45.14</v>
      </c>
      <c r="L31" s="21" t="s">
        <v>554</v>
      </c>
      <c r="M31" s="24">
        <v>0.5</v>
      </c>
      <c r="N31" s="24">
        <v>10.1</v>
      </c>
      <c r="O31" s="9">
        <f t="shared" si="6"/>
        <v>0</v>
      </c>
      <c r="P31" s="9">
        <f t="shared" si="0"/>
        <v>0</v>
      </c>
      <c r="Q31" s="9">
        <f t="shared" si="1"/>
        <v>0</v>
      </c>
      <c r="R31" s="48">
        <f t="shared" si="7"/>
        <v>1.65</v>
      </c>
      <c r="S31" s="48">
        <f t="shared" si="2"/>
        <v>4.08</v>
      </c>
      <c r="T31" s="48">
        <f t="shared" si="3"/>
        <v>6.73</v>
      </c>
      <c r="U31" s="48">
        <f t="shared" si="4"/>
        <v>18.22</v>
      </c>
      <c r="V31" s="48">
        <f t="shared" si="5"/>
        <v>30.1</v>
      </c>
    </row>
    <row r="32" spans="1:22" ht="30.75" customHeight="1">
      <c r="A32" s="7">
        <v>30</v>
      </c>
      <c r="B32" s="7" t="s">
        <v>65</v>
      </c>
      <c r="C32" s="21" t="s">
        <v>109</v>
      </c>
      <c r="D32" s="24">
        <v>0</v>
      </c>
      <c r="E32" s="24">
        <v>56.84</v>
      </c>
      <c r="F32" s="21" t="s">
        <v>555</v>
      </c>
      <c r="G32" s="24">
        <v>0</v>
      </c>
      <c r="H32" s="24">
        <v>92.99</v>
      </c>
      <c r="I32" s="21" t="s">
        <v>555</v>
      </c>
      <c r="J32" s="24">
        <v>0</v>
      </c>
      <c r="K32" s="24">
        <v>26.94</v>
      </c>
      <c r="L32" s="21" t="s">
        <v>555</v>
      </c>
      <c r="M32" s="24">
        <v>0</v>
      </c>
      <c r="N32" s="24">
        <v>7.44</v>
      </c>
      <c r="O32" s="9">
        <f t="shared" si="6"/>
        <v>0</v>
      </c>
      <c r="P32" s="9">
        <f t="shared" si="0"/>
        <v>0</v>
      </c>
      <c r="Q32" s="9">
        <f t="shared" si="1"/>
        <v>0</v>
      </c>
      <c r="R32" s="48">
        <f t="shared" si="7"/>
        <v>-1.64</v>
      </c>
      <c r="S32" s="48">
        <f t="shared" si="2"/>
        <v>3.45</v>
      </c>
      <c r="T32" s="48">
        <f t="shared" si="3"/>
        <v>2.11</v>
      </c>
      <c r="U32" s="48">
        <f t="shared" si="4"/>
        <v>12.5</v>
      </c>
      <c r="V32" s="48">
        <f t="shared" si="5"/>
        <v>7.64</v>
      </c>
    </row>
    <row r="33" spans="1:35" ht="30.75" customHeight="1">
      <c r="A33" s="7">
        <v>31</v>
      </c>
      <c r="B33" s="7" t="s">
        <v>66</v>
      </c>
      <c r="C33" s="21" t="s">
        <v>110</v>
      </c>
      <c r="D33" s="24">
        <v>0</v>
      </c>
      <c r="E33" s="24">
        <v>73.069999999999993</v>
      </c>
      <c r="F33" s="21" t="s">
        <v>556</v>
      </c>
      <c r="G33" s="24">
        <v>0</v>
      </c>
      <c r="H33" s="24">
        <v>93.02</v>
      </c>
      <c r="I33" s="21" t="s">
        <v>556</v>
      </c>
      <c r="J33" s="24">
        <v>0</v>
      </c>
      <c r="K33" s="24">
        <v>27.81</v>
      </c>
      <c r="L33" s="21" t="s">
        <v>556</v>
      </c>
      <c r="M33" s="24">
        <v>0</v>
      </c>
      <c r="N33" s="24">
        <v>7.4</v>
      </c>
      <c r="O33" s="9">
        <f t="shared" si="6"/>
        <v>0</v>
      </c>
      <c r="P33" s="9">
        <f t="shared" si="0"/>
        <v>0</v>
      </c>
      <c r="Q33" s="9">
        <f t="shared" si="1"/>
        <v>0</v>
      </c>
      <c r="R33" s="48">
        <f t="shared" si="7"/>
        <v>-1.27</v>
      </c>
      <c r="S33" s="48">
        <f t="shared" si="2"/>
        <v>3.34</v>
      </c>
      <c r="T33" s="48">
        <f t="shared" si="3"/>
        <v>2.63</v>
      </c>
      <c r="U33" s="48">
        <f t="shared" si="4"/>
        <v>12.57</v>
      </c>
      <c r="V33" s="48">
        <f t="shared" si="5"/>
        <v>9.8699999999999992</v>
      </c>
    </row>
    <row r="34" spans="1:35" ht="30.75" customHeight="1">
      <c r="A34" s="7">
        <v>32</v>
      </c>
      <c r="B34" s="7" t="s">
        <v>67</v>
      </c>
      <c r="C34" s="21" t="s">
        <v>111</v>
      </c>
      <c r="D34" s="24">
        <v>0</v>
      </c>
      <c r="E34" s="24">
        <v>33.950000000000003</v>
      </c>
      <c r="F34" s="21" t="s">
        <v>557</v>
      </c>
      <c r="G34" s="24">
        <v>0</v>
      </c>
      <c r="H34" s="24">
        <v>44.79</v>
      </c>
      <c r="I34" s="21" t="s">
        <v>557</v>
      </c>
      <c r="J34" s="24">
        <v>0</v>
      </c>
      <c r="K34" s="24">
        <v>19.57</v>
      </c>
      <c r="L34" s="21" t="s">
        <v>557</v>
      </c>
      <c r="M34" s="24">
        <v>0</v>
      </c>
      <c r="N34" s="24">
        <v>5.96</v>
      </c>
      <c r="O34" s="9">
        <f t="shared" si="6"/>
        <v>0</v>
      </c>
      <c r="P34" s="9">
        <f t="shared" si="0"/>
        <v>0</v>
      </c>
      <c r="Q34" s="9">
        <f t="shared" si="1"/>
        <v>0</v>
      </c>
      <c r="R34" s="48">
        <f t="shared" si="7"/>
        <v>-1.32</v>
      </c>
      <c r="S34" s="48">
        <f t="shared" si="2"/>
        <v>2.29</v>
      </c>
      <c r="T34" s="48">
        <f t="shared" si="3"/>
        <v>1.73</v>
      </c>
      <c r="U34" s="48">
        <f t="shared" si="4"/>
        <v>7.52</v>
      </c>
      <c r="V34" s="48">
        <f t="shared" si="5"/>
        <v>5.7</v>
      </c>
    </row>
    <row r="35" spans="1:35" ht="30.75" customHeight="1">
      <c r="A35" s="7">
        <v>33</v>
      </c>
      <c r="B35" s="7" t="s">
        <v>68</v>
      </c>
      <c r="C35" s="21" t="s">
        <v>112</v>
      </c>
      <c r="D35" s="24">
        <v>0</v>
      </c>
      <c r="E35" s="24">
        <v>0.94</v>
      </c>
      <c r="F35" s="21" t="s">
        <v>558</v>
      </c>
      <c r="G35" s="24">
        <v>0</v>
      </c>
      <c r="H35" s="24">
        <v>0.11</v>
      </c>
      <c r="I35" s="21" t="s">
        <v>558</v>
      </c>
      <c r="J35" s="24">
        <v>0</v>
      </c>
      <c r="K35" s="24">
        <v>11.32</v>
      </c>
      <c r="L35" s="21" t="s">
        <v>558</v>
      </c>
      <c r="M35" s="24">
        <v>0</v>
      </c>
      <c r="N35" s="24">
        <v>4.8899999999999997</v>
      </c>
      <c r="O35" s="9">
        <f t="shared" si="6"/>
        <v>0</v>
      </c>
      <c r="P35" s="9">
        <f t="shared" si="0"/>
        <v>0</v>
      </c>
      <c r="Q35" s="9">
        <f t="shared" si="1"/>
        <v>0</v>
      </c>
      <c r="R35" s="48">
        <f t="shared" si="7"/>
        <v>8.5500000000000007</v>
      </c>
      <c r="S35" s="48">
        <f>ROUND(IF(H35&lt;K35, -(K35/IF(H35=0,1,H35)), IF(H35=0,1,H35)/IF(K35=0,1,K35)), 2)</f>
        <v>-102.91</v>
      </c>
      <c r="T35" s="48">
        <f t="shared" si="3"/>
        <v>-12.04</v>
      </c>
      <c r="U35" s="48">
        <f>ROUND(IF(H35&lt;N35, -(N35/IF(H35=0,1,H35)), IF(H35=0,1,H35)/IF(N35=0,1,N35)), 2)</f>
        <v>-44.45</v>
      </c>
      <c r="V35" s="48">
        <f t="shared" si="5"/>
        <v>-5.2</v>
      </c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</row>
    <row r="36" spans="1:35" ht="30.75" customHeight="1">
      <c r="A36" s="7">
        <v>34</v>
      </c>
      <c r="B36" s="7" t="s">
        <v>69</v>
      </c>
      <c r="C36" s="21" t="s">
        <v>113</v>
      </c>
      <c r="D36" s="24">
        <v>0</v>
      </c>
      <c r="E36" s="24">
        <v>1.1599999999999999</v>
      </c>
      <c r="F36" s="21" t="s">
        <v>559</v>
      </c>
      <c r="G36" s="24">
        <v>0</v>
      </c>
      <c r="H36" s="24">
        <v>0.1</v>
      </c>
      <c r="I36" s="21" t="s">
        <v>559</v>
      </c>
      <c r="J36" s="24">
        <v>0</v>
      </c>
      <c r="K36" s="24">
        <v>11.28</v>
      </c>
      <c r="L36" s="21" t="s">
        <v>559</v>
      </c>
      <c r="M36" s="24">
        <v>0</v>
      </c>
      <c r="N36" s="24">
        <v>4.4400000000000004</v>
      </c>
      <c r="O36" s="9">
        <f t="shared" si="6"/>
        <v>0</v>
      </c>
      <c r="P36" s="9">
        <f t="shared" si="0"/>
        <v>0</v>
      </c>
      <c r="Q36" s="9">
        <f t="shared" si="1"/>
        <v>0</v>
      </c>
      <c r="R36" s="48">
        <f t="shared" si="7"/>
        <v>11.6</v>
      </c>
      <c r="S36" s="48">
        <f t="shared" si="2"/>
        <v>-112.8</v>
      </c>
      <c r="T36" s="48">
        <f t="shared" si="3"/>
        <v>-9.7200000000000006</v>
      </c>
      <c r="U36" s="48">
        <f t="shared" si="4"/>
        <v>-44.4</v>
      </c>
      <c r="V36" s="48">
        <f t="shared" si="5"/>
        <v>-3.83</v>
      </c>
      <c r="X36" s="143"/>
      <c r="Y36" s="146" t="s">
        <v>688</v>
      </c>
      <c r="Z36" s="146"/>
      <c r="AA36" s="146"/>
      <c r="AB36" s="146"/>
      <c r="AC36" s="146"/>
      <c r="AD36" s="146"/>
      <c r="AE36" s="146"/>
      <c r="AF36" s="146"/>
      <c r="AG36" s="146"/>
      <c r="AH36" s="143"/>
      <c r="AI36" s="143"/>
    </row>
    <row r="37" spans="1:35" ht="30.75" customHeight="1">
      <c r="A37" s="7">
        <v>35</v>
      </c>
      <c r="B37" s="7" t="s">
        <v>510</v>
      </c>
      <c r="C37" s="21" t="s">
        <v>114</v>
      </c>
      <c r="D37" s="24">
        <v>0</v>
      </c>
      <c r="E37" s="24">
        <v>2.71</v>
      </c>
      <c r="F37" s="21" t="s">
        <v>560</v>
      </c>
      <c r="G37" s="24">
        <v>0</v>
      </c>
      <c r="H37" s="24">
        <v>2.04</v>
      </c>
      <c r="I37" s="21" t="s">
        <v>560</v>
      </c>
      <c r="J37" s="24">
        <v>0</v>
      </c>
      <c r="K37" s="24">
        <v>11.57</v>
      </c>
      <c r="L37" s="21" t="s">
        <v>560</v>
      </c>
      <c r="M37" s="24">
        <v>0</v>
      </c>
      <c r="N37" s="24">
        <v>4.42</v>
      </c>
      <c r="O37" s="9">
        <f t="shared" si="6"/>
        <v>0</v>
      </c>
      <c r="P37" s="9">
        <f t="shared" si="0"/>
        <v>0</v>
      </c>
      <c r="Q37" s="9">
        <f t="shared" si="1"/>
        <v>0</v>
      </c>
      <c r="R37" s="48">
        <f t="shared" si="7"/>
        <v>1.33</v>
      </c>
      <c r="S37" s="48">
        <f t="shared" si="2"/>
        <v>-5.67</v>
      </c>
      <c r="T37" s="48">
        <f t="shared" si="3"/>
        <v>-4.2699999999999996</v>
      </c>
      <c r="U37" s="48">
        <f t="shared" si="4"/>
        <v>-2.17</v>
      </c>
      <c r="V37" s="48">
        <f t="shared" si="5"/>
        <v>-1.63</v>
      </c>
      <c r="X37" s="142"/>
      <c r="Y37" s="148" t="s">
        <v>687</v>
      </c>
      <c r="Z37" s="148"/>
      <c r="AA37" s="126" t="s">
        <v>686</v>
      </c>
      <c r="AB37" s="126"/>
      <c r="AC37" s="141" t="s">
        <v>685</v>
      </c>
      <c r="AD37" s="141"/>
      <c r="AE37" s="129" t="s">
        <v>684</v>
      </c>
      <c r="AF37" s="129"/>
      <c r="AG37" s="129"/>
      <c r="AH37" s="144"/>
      <c r="AI37" s="144"/>
    </row>
    <row r="38" spans="1:35" ht="30.75" customHeight="1">
      <c r="A38" s="7">
        <v>36</v>
      </c>
      <c r="B38" s="7" t="s">
        <v>70</v>
      </c>
      <c r="C38" s="21" t="s">
        <v>115</v>
      </c>
      <c r="D38" s="24">
        <v>0.5</v>
      </c>
      <c r="E38" s="24">
        <v>332.97</v>
      </c>
      <c r="F38" s="21" t="s">
        <v>561</v>
      </c>
      <c r="G38" s="24">
        <v>0.5</v>
      </c>
      <c r="H38" s="24">
        <v>190.3</v>
      </c>
      <c r="I38" s="21" t="s">
        <v>561</v>
      </c>
      <c r="J38" s="24">
        <v>0.5</v>
      </c>
      <c r="K38" s="24">
        <v>45.12</v>
      </c>
      <c r="L38" s="21" t="s">
        <v>561</v>
      </c>
      <c r="M38" s="24">
        <v>0.5</v>
      </c>
      <c r="N38" s="24">
        <v>10.98</v>
      </c>
      <c r="O38" s="9">
        <f t="shared" si="6"/>
        <v>0</v>
      </c>
      <c r="P38" s="9">
        <f t="shared" si="0"/>
        <v>0</v>
      </c>
      <c r="Q38" s="9">
        <f t="shared" si="1"/>
        <v>0</v>
      </c>
      <c r="R38" s="48">
        <f t="shared" si="7"/>
        <v>1.75</v>
      </c>
      <c r="S38" s="48">
        <f t="shared" si="2"/>
        <v>4.22</v>
      </c>
      <c r="T38" s="48">
        <f t="shared" si="3"/>
        <v>7.38</v>
      </c>
      <c r="U38" s="48">
        <f t="shared" si="4"/>
        <v>17.329999999999998</v>
      </c>
      <c r="V38" s="48">
        <f t="shared" si="5"/>
        <v>30.33</v>
      </c>
      <c r="X38" s="122"/>
      <c r="Y38" s="150">
        <f>E3</f>
        <v>1083.5999999999999</v>
      </c>
      <c r="Z38" s="151"/>
      <c r="AA38" s="152">
        <f>H3</f>
        <v>413.19</v>
      </c>
      <c r="AB38" s="153"/>
      <c r="AC38" s="152">
        <f>K3</f>
        <v>88.44</v>
      </c>
      <c r="AD38" s="153"/>
      <c r="AE38" s="152">
        <f>N3</f>
        <v>22.07</v>
      </c>
      <c r="AF38" s="153"/>
      <c r="AG38" s="153"/>
      <c r="AH38" s="145"/>
      <c r="AI38" s="145"/>
    </row>
    <row r="39" spans="1:35" ht="30.75" customHeight="1">
      <c r="A39" s="7">
        <v>37</v>
      </c>
      <c r="B39" s="7" t="s">
        <v>71</v>
      </c>
      <c r="C39" s="21" t="s">
        <v>116</v>
      </c>
      <c r="D39" s="24">
        <v>0</v>
      </c>
      <c r="E39" s="24">
        <v>49.01</v>
      </c>
      <c r="F39" s="21" t="s">
        <v>562</v>
      </c>
      <c r="G39" s="24">
        <v>0</v>
      </c>
      <c r="H39" s="24">
        <v>91.28</v>
      </c>
      <c r="I39" s="21" t="s">
        <v>562</v>
      </c>
      <c r="J39" s="24">
        <v>0</v>
      </c>
      <c r="K39" s="24">
        <v>28.5</v>
      </c>
      <c r="L39" s="21" t="s">
        <v>562</v>
      </c>
      <c r="M39" s="24">
        <v>0</v>
      </c>
      <c r="N39" s="24">
        <v>6.93</v>
      </c>
      <c r="O39" s="9">
        <f t="shared" si="6"/>
        <v>0</v>
      </c>
      <c r="P39" s="9">
        <f t="shared" si="0"/>
        <v>0</v>
      </c>
      <c r="Q39" s="9">
        <f t="shared" si="1"/>
        <v>0</v>
      </c>
      <c r="R39" s="48">
        <f t="shared" si="7"/>
        <v>-1.86</v>
      </c>
      <c r="S39" s="48">
        <f t="shared" si="2"/>
        <v>3.2</v>
      </c>
      <c r="T39" s="48">
        <f t="shared" si="3"/>
        <v>1.72</v>
      </c>
      <c r="U39" s="48">
        <f t="shared" si="4"/>
        <v>13.17</v>
      </c>
      <c r="V39" s="48">
        <f t="shared" si="5"/>
        <v>7.07</v>
      </c>
      <c r="X39" s="140"/>
      <c r="Y39" s="149" t="s">
        <v>689</v>
      </c>
      <c r="Z39" s="149"/>
      <c r="AA39" s="147">
        <f>$Y$38/AA38</f>
        <v>2.6225223262905684</v>
      </c>
      <c r="AB39" s="147"/>
      <c r="AC39" s="147">
        <f>$Y$38/AC38</f>
        <v>12.252374491180461</v>
      </c>
      <c r="AD39" s="147"/>
      <c r="AE39" s="147">
        <f>$Y$38/AE38</f>
        <v>49.098323516085181</v>
      </c>
      <c r="AF39" s="147"/>
      <c r="AG39" s="147"/>
      <c r="AH39" s="140"/>
      <c r="AI39" s="140"/>
    </row>
    <row r="40" spans="1:35" ht="30.75" customHeight="1">
      <c r="A40" s="7">
        <v>38</v>
      </c>
      <c r="B40" s="7" t="s">
        <v>72</v>
      </c>
      <c r="C40" s="21" t="s">
        <v>117</v>
      </c>
      <c r="D40" s="24">
        <v>0</v>
      </c>
      <c r="E40" s="24">
        <v>92.03</v>
      </c>
      <c r="F40" s="21" t="s">
        <v>563</v>
      </c>
      <c r="G40" s="24">
        <v>0</v>
      </c>
      <c r="H40" s="24">
        <v>92.54</v>
      </c>
      <c r="I40" s="21" t="s">
        <v>563</v>
      </c>
      <c r="J40" s="24">
        <v>0</v>
      </c>
      <c r="K40" s="24">
        <v>27.16</v>
      </c>
      <c r="L40" s="21" t="s">
        <v>563</v>
      </c>
      <c r="M40" s="24">
        <v>0</v>
      </c>
      <c r="N40" s="24">
        <v>7.46</v>
      </c>
      <c r="O40" s="9">
        <f t="shared" si="6"/>
        <v>0</v>
      </c>
      <c r="P40" s="9">
        <f t="shared" si="0"/>
        <v>0</v>
      </c>
      <c r="Q40" s="9">
        <f t="shared" si="1"/>
        <v>0</v>
      </c>
      <c r="R40" s="48">
        <f t="shared" si="7"/>
        <v>-1.01</v>
      </c>
      <c r="S40" s="48">
        <f t="shared" si="2"/>
        <v>3.41</v>
      </c>
      <c r="T40" s="48">
        <f t="shared" si="3"/>
        <v>3.39</v>
      </c>
      <c r="U40" s="48">
        <f t="shared" si="4"/>
        <v>12.4</v>
      </c>
      <c r="V40" s="48">
        <f t="shared" si="5"/>
        <v>12.34</v>
      </c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</row>
    <row r="41" spans="1:35" ht="30.75" customHeight="1">
      <c r="A41" s="7">
        <v>39</v>
      </c>
      <c r="B41" s="7" t="s">
        <v>73</v>
      </c>
      <c r="C41" s="21" t="s">
        <v>118</v>
      </c>
      <c r="D41" s="24">
        <v>0</v>
      </c>
      <c r="E41" s="24">
        <v>31.66</v>
      </c>
      <c r="F41" s="21" t="s">
        <v>564</v>
      </c>
      <c r="G41" s="24">
        <v>0</v>
      </c>
      <c r="H41" s="24">
        <v>44</v>
      </c>
      <c r="I41" s="21" t="s">
        <v>564</v>
      </c>
      <c r="J41" s="24">
        <v>0</v>
      </c>
      <c r="K41" s="24">
        <v>20.6</v>
      </c>
      <c r="L41" s="21" t="s">
        <v>564</v>
      </c>
      <c r="M41" s="24">
        <v>0</v>
      </c>
      <c r="N41" s="24">
        <v>5.72</v>
      </c>
      <c r="O41" s="9">
        <f t="shared" si="6"/>
        <v>0</v>
      </c>
      <c r="P41" s="9">
        <f t="shared" si="0"/>
        <v>0</v>
      </c>
      <c r="Q41" s="9">
        <f t="shared" si="1"/>
        <v>0</v>
      </c>
      <c r="R41" s="48">
        <f t="shared" si="7"/>
        <v>-1.39</v>
      </c>
      <c r="S41" s="48">
        <f t="shared" si="2"/>
        <v>2.14</v>
      </c>
      <c r="T41" s="48">
        <f t="shared" si="3"/>
        <v>1.54</v>
      </c>
      <c r="U41" s="48">
        <f t="shared" si="4"/>
        <v>7.69</v>
      </c>
      <c r="V41" s="48">
        <f t="shared" si="5"/>
        <v>5.53</v>
      </c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</row>
    <row r="42" spans="1:35" ht="30.75" customHeight="1">
      <c r="A42" s="7">
        <v>40</v>
      </c>
      <c r="B42" s="7" t="s">
        <v>74</v>
      </c>
      <c r="C42" s="21" t="s">
        <v>119</v>
      </c>
      <c r="D42" s="24">
        <v>0</v>
      </c>
      <c r="E42" s="24">
        <v>1.03</v>
      </c>
      <c r="F42" s="21" t="s">
        <v>565</v>
      </c>
      <c r="G42" s="24">
        <v>0</v>
      </c>
      <c r="H42" s="24">
        <v>0.12</v>
      </c>
      <c r="I42" s="21" t="s">
        <v>565</v>
      </c>
      <c r="J42" s="24">
        <v>0</v>
      </c>
      <c r="K42" s="24">
        <v>12.28</v>
      </c>
      <c r="L42" s="21" t="s">
        <v>565</v>
      </c>
      <c r="M42" s="24">
        <v>0</v>
      </c>
      <c r="N42" s="24">
        <v>4.3499999999999996</v>
      </c>
      <c r="O42" s="9">
        <f t="shared" si="6"/>
        <v>0</v>
      </c>
      <c r="P42" s="9">
        <f t="shared" si="0"/>
        <v>0</v>
      </c>
      <c r="Q42" s="9">
        <f t="shared" si="1"/>
        <v>0</v>
      </c>
      <c r="R42" s="48">
        <f t="shared" si="7"/>
        <v>8.58</v>
      </c>
      <c r="S42" s="48">
        <f t="shared" si="2"/>
        <v>-102.33</v>
      </c>
      <c r="T42" s="48">
        <f t="shared" si="3"/>
        <v>-11.92</v>
      </c>
      <c r="U42" s="48">
        <f t="shared" si="4"/>
        <v>-36.25</v>
      </c>
      <c r="V42" s="48">
        <f t="shared" si="5"/>
        <v>-4.22</v>
      </c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</row>
    <row r="43" spans="1:35" ht="30.75" customHeight="1">
      <c r="A43" s="7">
        <v>41</v>
      </c>
      <c r="B43" s="7" t="s">
        <v>75</v>
      </c>
      <c r="C43" s="21" t="s">
        <v>120</v>
      </c>
      <c r="D43" s="24">
        <v>0</v>
      </c>
      <c r="E43" s="24">
        <v>0.91</v>
      </c>
      <c r="F43" s="21" t="s">
        <v>566</v>
      </c>
      <c r="G43" s="24">
        <v>0</v>
      </c>
      <c r="H43" s="24">
        <v>0.11</v>
      </c>
      <c r="I43" s="21" t="s">
        <v>566</v>
      </c>
      <c r="J43" s="24">
        <v>0</v>
      </c>
      <c r="K43" s="24">
        <v>11.94</v>
      </c>
      <c r="L43" s="21" t="s">
        <v>566</v>
      </c>
      <c r="M43" s="24">
        <v>0</v>
      </c>
      <c r="N43" s="24">
        <v>4.53</v>
      </c>
      <c r="O43" s="9">
        <f t="shared" si="6"/>
        <v>0</v>
      </c>
      <c r="P43" s="9">
        <f t="shared" si="0"/>
        <v>0</v>
      </c>
      <c r="Q43" s="9">
        <f t="shared" si="1"/>
        <v>0</v>
      </c>
      <c r="R43" s="48">
        <f t="shared" si="7"/>
        <v>8.27</v>
      </c>
      <c r="S43" s="48">
        <f t="shared" si="2"/>
        <v>-108.55</v>
      </c>
      <c r="T43" s="48">
        <f t="shared" si="3"/>
        <v>-13.12</v>
      </c>
      <c r="U43" s="48">
        <f t="shared" si="4"/>
        <v>-41.18</v>
      </c>
      <c r="V43" s="48">
        <f t="shared" si="5"/>
        <v>-4.9800000000000004</v>
      </c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</row>
    <row r="44" spans="1:35" ht="30.75" customHeight="1">
      <c r="A44" s="7">
        <v>42</v>
      </c>
      <c r="B44" s="7" t="s">
        <v>511</v>
      </c>
      <c r="C44" s="21" t="s">
        <v>121</v>
      </c>
      <c r="D44" s="24">
        <v>0</v>
      </c>
      <c r="E44" s="24">
        <v>2.4300000000000002</v>
      </c>
      <c r="F44" s="21" t="s">
        <v>567</v>
      </c>
      <c r="G44" s="24">
        <v>0</v>
      </c>
      <c r="H44" s="24">
        <v>2.17</v>
      </c>
      <c r="I44" s="21" t="s">
        <v>567</v>
      </c>
      <c r="J44" s="24">
        <v>0</v>
      </c>
      <c r="K44" s="24">
        <v>12.39</v>
      </c>
      <c r="L44" s="21" t="s">
        <v>567</v>
      </c>
      <c r="M44" s="24">
        <v>0</v>
      </c>
      <c r="N44" s="24">
        <v>4.5</v>
      </c>
      <c r="O44" s="9">
        <f t="shared" si="6"/>
        <v>0</v>
      </c>
      <c r="P44" s="9">
        <f t="shared" si="0"/>
        <v>0</v>
      </c>
      <c r="Q44" s="9">
        <f t="shared" si="1"/>
        <v>0</v>
      </c>
      <c r="R44" s="48">
        <f t="shared" si="7"/>
        <v>1.1200000000000001</v>
      </c>
      <c r="S44" s="48">
        <f t="shared" si="2"/>
        <v>-5.71</v>
      </c>
      <c r="T44" s="48">
        <f t="shared" si="3"/>
        <v>-5.0999999999999996</v>
      </c>
      <c r="U44" s="48">
        <f t="shared" si="4"/>
        <v>-2.0699999999999998</v>
      </c>
      <c r="V44" s="48">
        <f t="shared" si="5"/>
        <v>-1.85</v>
      </c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</row>
    <row r="45" spans="1:35" ht="30.75" customHeight="1">
      <c r="A45" s="7">
        <v>43</v>
      </c>
      <c r="B45" s="7" t="s">
        <v>512</v>
      </c>
      <c r="C45" s="21" t="s">
        <v>122</v>
      </c>
      <c r="D45" s="24">
        <v>0.5</v>
      </c>
      <c r="E45" s="24">
        <v>486.3</v>
      </c>
      <c r="F45" s="21" t="s">
        <v>568</v>
      </c>
      <c r="G45" s="24">
        <v>0.5</v>
      </c>
      <c r="H45" s="24">
        <v>270.38</v>
      </c>
      <c r="I45" s="21" t="s">
        <v>568</v>
      </c>
      <c r="J45" s="24">
        <v>0.5</v>
      </c>
      <c r="K45" s="24">
        <v>71.040000000000006</v>
      </c>
      <c r="L45" s="21" t="s">
        <v>568</v>
      </c>
      <c r="M45" s="24">
        <v>0.5</v>
      </c>
      <c r="N45" s="24">
        <v>15.01</v>
      </c>
      <c r="O45" s="9">
        <f t="shared" si="6"/>
        <v>0</v>
      </c>
      <c r="P45" s="9">
        <f t="shared" si="0"/>
        <v>0</v>
      </c>
      <c r="Q45" s="9">
        <f t="shared" si="1"/>
        <v>0</v>
      </c>
      <c r="R45" s="48">
        <f t="shared" si="7"/>
        <v>1.8</v>
      </c>
      <c r="S45" s="48">
        <f t="shared" si="2"/>
        <v>3.81</v>
      </c>
      <c r="T45" s="48">
        <f t="shared" si="3"/>
        <v>6.85</v>
      </c>
      <c r="U45" s="48">
        <f t="shared" si="4"/>
        <v>18.010000000000002</v>
      </c>
      <c r="V45" s="48">
        <f t="shared" si="5"/>
        <v>32.4</v>
      </c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</row>
    <row r="46" spans="1:35" ht="30.75" customHeight="1">
      <c r="A46" s="7">
        <v>44</v>
      </c>
      <c r="B46" s="7" t="s">
        <v>513</v>
      </c>
      <c r="C46" s="21" t="s">
        <v>123</v>
      </c>
      <c r="D46" s="24">
        <v>0</v>
      </c>
      <c r="E46" s="24">
        <v>89.25</v>
      </c>
      <c r="F46" s="21" t="s">
        <v>569</v>
      </c>
      <c r="G46" s="24">
        <v>0</v>
      </c>
      <c r="H46" s="24">
        <v>128.24</v>
      </c>
      <c r="I46" s="21" t="s">
        <v>569</v>
      </c>
      <c r="J46" s="24">
        <v>0</v>
      </c>
      <c r="K46" s="24">
        <v>39.21</v>
      </c>
      <c r="L46" s="21" t="s">
        <v>569</v>
      </c>
      <c r="M46" s="24">
        <v>0</v>
      </c>
      <c r="N46" s="24">
        <v>8.39</v>
      </c>
      <c r="O46" s="9">
        <f t="shared" si="6"/>
        <v>0</v>
      </c>
      <c r="P46" s="9">
        <f t="shared" si="0"/>
        <v>0</v>
      </c>
      <c r="Q46" s="9">
        <f t="shared" si="1"/>
        <v>0</v>
      </c>
      <c r="R46" s="48">
        <f t="shared" si="7"/>
        <v>-1.44</v>
      </c>
      <c r="S46" s="48">
        <f t="shared" si="2"/>
        <v>3.27</v>
      </c>
      <c r="T46" s="48">
        <f t="shared" si="3"/>
        <v>2.2799999999999998</v>
      </c>
      <c r="U46" s="48">
        <f t="shared" si="4"/>
        <v>15.28</v>
      </c>
      <c r="V46" s="48">
        <f t="shared" si="5"/>
        <v>10.64</v>
      </c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</row>
    <row r="47" spans="1:35" ht="30.75" customHeight="1">
      <c r="A47" s="7">
        <v>45</v>
      </c>
      <c r="B47" s="7" t="s">
        <v>514</v>
      </c>
      <c r="C47" s="21" t="s">
        <v>124</v>
      </c>
      <c r="D47" s="24">
        <v>0</v>
      </c>
      <c r="E47" s="24">
        <v>149.86000000000001</v>
      </c>
      <c r="F47" s="21" t="s">
        <v>570</v>
      </c>
      <c r="G47" s="24">
        <v>0</v>
      </c>
      <c r="H47" s="24">
        <v>131.30000000000001</v>
      </c>
      <c r="I47" s="21" t="s">
        <v>570</v>
      </c>
      <c r="J47" s="24">
        <v>0</v>
      </c>
      <c r="K47" s="24">
        <v>41.18</v>
      </c>
      <c r="L47" s="21" t="s">
        <v>570</v>
      </c>
      <c r="M47" s="24">
        <v>0</v>
      </c>
      <c r="N47" s="24">
        <v>8.75</v>
      </c>
      <c r="O47" s="9">
        <f t="shared" si="6"/>
        <v>0</v>
      </c>
      <c r="P47" s="9">
        <f t="shared" si="0"/>
        <v>0</v>
      </c>
      <c r="Q47" s="9">
        <f t="shared" si="1"/>
        <v>0</v>
      </c>
      <c r="R47" s="48">
        <f t="shared" si="7"/>
        <v>1.1399999999999999</v>
      </c>
      <c r="S47" s="48">
        <f t="shared" si="2"/>
        <v>3.19</v>
      </c>
      <c r="T47" s="48">
        <f t="shared" si="3"/>
        <v>3.64</v>
      </c>
      <c r="U47" s="48">
        <f t="shared" si="4"/>
        <v>15.01</v>
      </c>
      <c r="V47" s="48">
        <f t="shared" si="5"/>
        <v>17.13</v>
      </c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</row>
    <row r="48" spans="1:35" ht="30.75" customHeight="1">
      <c r="A48" s="7">
        <v>46</v>
      </c>
      <c r="B48" s="7" t="s">
        <v>515</v>
      </c>
      <c r="C48" s="21" t="s">
        <v>125</v>
      </c>
      <c r="D48" s="24">
        <v>0</v>
      </c>
      <c r="E48" s="24">
        <v>67.97</v>
      </c>
      <c r="F48" s="21" t="s">
        <v>571</v>
      </c>
      <c r="G48" s="24">
        <v>0</v>
      </c>
      <c r="H48" s="24">
        <v>61.89</v>
      </c>
      <c r="I48" s="21" t="s">
        <v>571</v>
      </c>
      <c r="J48" s="24">
        <v>0</v>
      </c>
      <c r="K48" s="24">
        <v>25.8</v>
      </c>
      <c r="L48" s="21" t="s">
        <v>571</v>
      </c>
      <c r="M48" s="24">
        <v>0</v>
      </c>
      <c r="N48" s="24">
        <v>8.75</v>
      </c>
      <c r="O48" s="9">
        <f t="shared" si="6"/>
        <v>0</v>
      </c>
      <c r="P48" s="9">
        <f t="shared" si="0"/>
        <v>0</v>
      </c>
      <c r="Q48" s="9">
        <f t="shared" si="1"/>
        <v>0</v>
      </c>
      <c r="R48" s="48">
        <f t="shared" si="7"/>
        <v>1.1000000000000001</v>
      </c>
      <c r="S48" s="48">
        <f t="shared" si="2"/>
        <v>2.4</v>
      </c>
      <c r="T48" s="48">
        <f t="shared" si="3"/>
        <v>2.63</v>
      </c>
      <c r="U48" s="48">
        <f t="shared" si="4"/>
        <v>7.07</v>
      </c>
      <c r="V48" s="48">
        <f t="shared" si="5"/>
        <v>7.77</v>
      </c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</row>
    <row r="49" spans="1:22" ht="30.75" customHeight="1">
      <c r="A49" s="7">
        <v>47</v>
      </c>
      <c r="B49" s="7" t="s">
        <v>516</v>
      </c>
      <c r="C49" s="21" t="s">
        <v>126</v>
      </c>
      <c r="D49" s="24">
        <v>0</v>
      </c>
      <c r="E49" s="24">
        <v>1.8</v>
      </c>
      <c r="F49" s="21" t="s">
        <v>572</v>
      </c>
      <c r="G49" s="24">
        <v>0</v>
      </c>
      <c r="H49" s="24">
        <v>0.16</v>
      </c>
      <c r="I49" s="21" t="s">
        <v>572</v>
      </c>
      <c r="J49" s="24">
        <v>0</v>
      </c>
      <c r="K49" s="24">
        <v>12.23</v>
      </c>
      <c r="L49" s="21" t="s">
        <v>572</v>
      </c>
      <c r="M49" s="24">
        <v>0</v>
      </c>
      <c r="N49" s="24">
        <v>4.5999999999999996</v>
      </c>
      <c r="O49" s="9">
        <f t="shared" si="6"/>
        <v>0</v>
      </c>
      <c r="P49" s="9">
        <f t="shared" si="0"/>
        <v>0</v>
      </c>
      <c r="Q49" s="9">
        <f t="shared" si="1"/>
        <v>0</v>
      </c>
      <c r="R49" s="48">
        <f t="shared" si="7"/>
        <v>11.25</v>
      </c>
      <c r="S49" s="48">
        <f t="shared" si="2"/>
        <v>-76.44</v>
      </c>
      <c r="T49" s="48">
        <f t="shared" si="3"/>
        <v>-6.79</v>
      </c>
      <c r="U49" s="48">
        <f t="shared" si="4"/>
        <v>-28.75</v>
      </c>
      <c r="V49" s="48">
        <f t="shared" si="5"/>
        <v>-2.56</v>
      </c>
    </row>
    <row r="50" spans="1:22" ht="30.75" customHeight="1">
      <c r="A50" s="7">
        <v>48</v>
      </c>
      <c r="B50" s="7" t="s">
        <v>517</v>
      </c>
      <c r="C50" s="21" t="s">
        <v>127</v>
      </c>
      <c r="D50" s="24">
        <v>0</v>
      </c>
      <c r="E50" s="24">
        <v>1.79</v>
      </c>
      <c r="F50" s="21" t="s">
        <v>573</v>
      </c>
      <c r="G50" s="24">
        <v>0</v>
      </c>
      <c r="H50" s="24">
        <v>0.15</v>
      </c>
      <c r="I50" s="21" t="s">
        <v>573</v>
      </c>
      <c r="J50" s="24">
        <v>0</v>
      </c>
      <c r="K50" s="24">
        <v>12.71</v>
      </c>
      <c r="L50" s="21" t="s">
        <v>573</v>
      </c>
      <c r="M50" s="24">
        <v>0</v>
      </c>
      <c r="N50" s="24">
        <v>4.6100000000000003</v>
      </c>
      <c r="O50" s="9">
        <f t="shared" si="6"/>
        <v>0</v>
      </c>
      <c r="P50" s="9">
        <f t="shared" si="0"/>
        <v>0</v>
      </c>
      <c r="Q50" s="9">
        <f t="shared" si="1"/>
        <v>0</v>
      </c>
      <c r="R50" s="48">
        <f t="shared" si="7"/>
        <v>11.93</v>
      </c>
      <c r="S50" s="48">
        <f t="shared" si="2"/>
        <v>-84.73</v>
      </c>
      <c r="T50" s="48">
        <f t="shared" si="3"/>
        <v>-7.1</v>
      </c>
      <c r="U50" s="48">
        <f t="shared" si="4"/>
        <v>-30.73</v>
      </c>
      <c r="V50" s="48">
        <f t="shared" si="5"/>
        <v>-2.58</v>
      </c>
    </row>
    <row r="51" spans="1:22" ht="30.75" customHeight="1">
      <c r="A51" s="7">
        <v>49</v>
      </c>
      <c r="B51" s="7" t="s">
        <v>518</v>
      </c>
      <c r="C51" s="21" t="s">
        <v>128</v>
      </c>
      <c r="D51" s="24">
        <v>0</v>
      </c>
      <c r="E51" s="24">
        <v>4.53</v>
      </c>
      <c r="F51" s="21" t="s">
        <v>574</v>
      </c>
      <c r="G51" s="24">
        <v>0</v>
      </c>
      <c r="H51" s="24">
        <v>2.98</v>
      </c>
      <c r="I51" s="21" t="s">
        <v>574</v>
      </c>
      <c r="J51" s="24">
        <v>0</v>
      </c>
      <c r="K51" s="24">
        <v>12.69</v>
      </c>
      <c r="L51" s="21" t="s">
        <v>574</v>
      </c>
      <c r="M51" s="24">
        <v>0</v>
      </c>
      <c r="N51" s="24">
        <v>4.75</v>
      </c>
      <c r="O51" s="9">
        <f t="shared" si="6"/>
        <v>0</v>
      </c>
      <c r="P51" s="9">
        <f t="shared" si="0"/>
        <v>0</v>
      </c>
      <c r="Q51" s="9">
        <f t="shared" si="1"/>
        <v>0</v>
      </c>
      <c r="R51" s="48">
        <f t="shared" si="7"/>
        <v>1.52</v>
      </c>
      <c r="S51" s="48">
        <f t="shared" si="2"/>
        <v>-4.26</v>
      </c>
      <c r="T51" s="48">
        <f t="shared" si="3"/>
        <v>-2.8</v>
      </c>
      <c r="U51" s="48">
        <f t="shared" si="4"/>
        <v>-1.59</v>
      </c>
      <c r="V51" s="48">
        <f t="shared" si="5"/>
        <v>-1.05</v>
      </c>
    </row>
    <row r="52" spans="1:22" ht="30.75" customHeight="1">
      <c r="I52" s="94" t="s">
        <v>370</v>
      </c>
      <c r="J52" s="94"/>
      <c r="K52" s="94"/>
      <c r="L52" s="37"/>
      <c r="M52" s="52"/>
      <c r="N52" s="52"/>
      <c r="O52" s="18">
        <f t="shared" ref="O52:V52" si="8">AVERAGE(O$3:O$51)</f>
        <v>0</v>
      </c>
      <c r="P52" s="18">
        <f t="shared" si="8"/>
        <v>0</v>
      </c>
      <c r="Q52" s="18">
        <f t="shared" si="8"/>
        <v>0</v>
      </c>
      <c r="R52" s="19">
        <f t="shared" si="8"/>
        <v>4.7626530612244906</v>
      </c>
      <c r="S52" s="19">
        <f t="shared" si="8"/>
        <v>-19.527551020408161</v>
      </c>
      <c r="T52" s="19">
        <f t="shared" si="8"/>
        <v>0.71836734693877524</v>
      </c>
      <c r="U52" s="19">
        <f t="shared" si="8"/>
        <v>-0.25183673469387763</v>
      </c>
      <c r="V52" s="19">
        <f t="shared" si="8"/>
        <v>10.686122448979592</v>
      </c>
    </row>
    <row r="53" spans="1:22" ht="30.75" customHeight="1">
      <c r="I53" s="95" t="s">
        <v>371</v>
      </c>
      <c r="J53" s="95"/>
      <c r="K53" s="95"/>
      <c r="L53" s="38"/>
      <c r="M53" s="53"/>
      <c r="N53" s="53"/>
      <c r="O53" s="14">
        <f t="shared" ref="O53:V53" si="9">MIN(O$3:O$51)</f>
        <v>0</v>
      </c>
      <c r="P53" s="14">
        <f t="shared" si="9"/>
        <v>0</v>
      </c>
      <c r="Q53" s="14">
        <f t="shared" si="9"/>
        <v>0</v>
      </c>
      <c r="R53" s="15">
        <f t="shared" si="9"/>
        <v>-1.86</v>
      </c>
      <c r="S53" s="15">
        <f t="shared" si="9"/>
        <v>-112.8</v>
      </c>
      <c r="T53" s="15">
        <f t="shared" si="9"/>
        <v>-13.12</v>
      </c>
      <c r="U53" s="15">
        <f t="shared" si="9"/>
        <v>-44.45</v>
      </c>
      <c r="V53" s="15">
        <f t="shared" si="9"/>
        <v>-5.2</v>
      </c>
    </row>
    <row r="54" spans="1:22" ht="30.75" customHeight="1">
      <c r="I54" s="96" t="s">
        <v>372</v>
      </c>
      <c r="J54" s="96"/>
      <c r="K54" s="96"/>
      <c r="L54" s="39"/>
      <c r="M54" s="54"/>
      <c r="N54" s="54"/>
      <c r="O54" s="16">
        <f t="shared" ref="O54:V54" si="10">MAX(O$3:O$51)</f>
        <v>0</v>
      </c>
      <c r="P54" s="16">
        <f t="shared" si="10"/>
        <v>0</v>
      </c>
      <c r="Q54" s="16">
        <f t="shared" si="10"/>
        <v>0</v>
      </c>
      <c r="R54" s="17">
        <f t="shared" si="10"/>
        <v>21.04</v>
      </c>
      <c r="S54" s="17">
        <f t="shared" si="10"/>
        <v>4.67</v>
      </c>
      <c r="T54" s="17">
        <f t="shared" si="10"/>
        <v>12.25</v>
      </c>
      <c r="U54" s="17">
        <f t="shared" si="10"/>
        <v>18.72</v>
      </c>
      <c r="V54" s="17">
        <f t="shared" si="10"/>
        <v>49.1</v>
      </c>
    </row>
    <row r="55" spans="1:22" ht="30.75" customHeight="1">
      <c r="O55" s="11" t="s">
        <v>211</v>
      </c>
      <c r="P55" s="10" t="s">
        <v>528</v>
      </c>
      <c r="Q55" s="36" t="s">
        <v>578</v>
      </c>
      <c r="R55" s="56" t="s">
        <v>290</v>
      </c>
      <c r="S55" s="57" t="s">
        <v>529</v>
      </c>
      <c r="T55" s="57" t="s">
        <v>632</v>
      </c>
      <c r="U55" s="44" t="s">
        <v>579</v>
      </c>
      <c r="V55" s="44" t="s">
        <v>633</v>
      </c>
    </row>
  </sheetData>
  <mergeCells count="23">
    <mergeCell ref="Y38:Z38"/>
    <mergeCell ref="Y39:Z39"/>
    <mergeCell ref="Y36:AG36"/>
    <mergeCell ref="AA38:AB38"/>
    <mergeCell ref="AC38:AD38"/>
    <mergeCell ref="AE38:AG38"/>
    <mergeCell ref="AA39:AB39"/>
    <mergeCell ref="AC39:AD39"/>
    <mergeCell ref="AE39:AG39"/>
    <mergeCell ref="AA37:AB37"/>
    <mergeCell ref="AC37:AD37"/>
    <mergeCell ref="AE37:AG37"/>
    <mergeCell ref="Y37:Z37"/>
    <mergeCell ref="A1:A2"/>
    <mergeCell ref="B1:B2"/>
    <mergeCell ref="C1:E1"/>
    <mergeCell ref="F1:H1"/>
    <mergeCell ref="I1:K1"/>
    <mergeCell ref="L1:N1"/>
    <mergeCell ref="I52:K52"/>
    <mergeCell ref="I53:K53"/>
    <mergeCell ref="I54:K54"/>
    <mergeCell ref="O1:V1"/>
  </mergeCells>
  <conditionalFormatting sqref="O1:O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51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6:O1048576 O3:O5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P5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51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Q2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5:Q5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6:Q1048576 P3:P5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:Q51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V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5:V5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6:V1048576 R3:T5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V5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5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5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5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S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9:AG3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42173-EC58-4ED8-9EFB-E3DF7BC7C172}">
  <dimension ref="A1:M55"/>
  <sheetViews>
    <sheetView topLeftCell="C1" zoomScale="85" zoomScaleNormal="85" workbookViewId="0">
      <selection activeCell="S17" sqref="S17"/>
    </sheetView>
  </sheetViews>
  <sheetFormatPr baseColWidth="10" defaultRowHeight="30.75" customHeight="1"/>
  <cols>
    <col min="1" max="1" width="8.140625" style="5" bestFit="1" customWidth="1"/>
    <col min="2" max="2" width="66" style="5" bestFit="1" customWidth="1"/>
    <col min="3" max="3" width="52.140625" style="22" bestFit="1" customWidth="1"/>
    <col min="4" max="4" width="8.5703125" style="25" bestFit="1" customWidth="1"/>
    <col min="5" max="5" width="8.28515625" style="25" bestFit="1" customWidth="1"/>
    <col min="6" max="6" width="52.140625" style="22" bestFit="1" customWidth="1"/>
    <col min="7" max="7" width="8.5703125" style="25" bestFit="1" customWidth="1"/>
    <col min="8" max="8" width="8.28515625" style="25" bestFit="1" customWidth="1"/>
    <col min="9" max="9" width="52.140625" style="22" bestFit="1" customWidth="1"/>
    <col min="10" max="10" width="8.7109375" style="25" bestFit="1" customWidth="1"/>
    <col min="11" max="11" width="8.28515625" style="25" customWidth="1"/>
    <col min="12" max="13" width="10.28515625" style="49" bestFit="1" customWidth="1"/>
    <col min="14" max="16384" width="11.42578125" style="5"/>
  </cols>
  <sheetData>
    <row r="1" spans="1:13" ht="15.75">
      <c r="A1" s="84" t="s">
        <v>176</v>
      </c>
      <c r="B1" s="84" t="s">
        <v>0</v>
      </c>
      <c r="C1" s="86" t="s">
        <v>377</v>
      </c>
      <c r="D1" s="86"/>
      <c r="E1" s="86"/>
      <c r="F1" s="87" t="s">
        <v>525</v>
      </c>
      <c r="G1" s="87"/>
      <c r="H1" s="87"/>
      <c r="I1" s="88" t="s">
        <v>575</v>
      </c>
      <c r="J1" s="89"/>
      <c r="K1" s="90"/>
      <c r="L1" s="92" t="s">
        <v>210</v>
      </c>
      <c r="M1" s="93"/>
    </row>
    <row r="2" spans="1:13" ht="31.5">
      <c r="A2" s="84"/>
      <c r="B2" s="84"/>
      <c r="C2" s="40" t="s">
        <v>1</v>
      </c>
      <c r="D2" s="50" t="s">
        <v>374</v>
      </c>
      <c r="E2" s="50" t="s">
        <v>376</v>
      </c>
      <c r="F2" s="41" t="s">
        <v>1</v>
      </c>
      <c r="G2" s="51" t="s">
        <v>526</v>
      </c>
      <c r="H2" s="51" t="s">
        <v>527</v>
      </c>
      <c r="I2" s="35" t="s">
        <v>1</v>
      </c>
      <c r="J2" s="44" t="s">
        <v>576</v>
      </c>
      <c r="K2" s="44" t="s">
        <v>577</v>
      </c>
      <c r="L2" s="51" t="s">
        <v>529</v>
      </c>
      <c r="M2" s="44" t="s">
        <v>579</v>
      </c>
    </row>
    <row r="3" spans="1:13" ht="30.75" customHeight="1">
      <c r="A3" s="7">
        <v>1</v>
      </c>
      <c r="B3" s="8" t="s">
        <v>40</v>
      </c>
      <c r="C3" s="21" t="s">
        <v>622</v>
      </c>
      <c r="D3" s="24">
        <v>0.5</v>
      </c>
      <c r="E3" s="24">
        <v>869.86</v>
      </c>
      <c r="F3" s="120" t="s">
        <v>622</v>
      </c>
      <c r="G3" s="24">
        <v>0.5</v>
      </c>
      <c r="H3" s="24">
        <v>172.66</v>
      </c>
      <c r="I3" s="21" t="s">
        <v>622</v>
      </c>
      <c r="J3" s="24">
        <v>0.5</v>
      </c>
      <c r="K3" s="24">
        <v>44.95</v>
      </c>
      <c r="L3" s="48">
        <f>ROUND(IF(E3&lt;H3, -(H3/IF(E3=0,1,E3)), IF(E3=0,1,E3)/IF(H3=0,1,H3)), 2)</f>
        <v>5.04</v>
      </c>
      <c r="M3" s="48">
        <f>ROUND(IF(E3&lt;K3, -(K3/IF(E3=0,1,E3)), IF(E3=0,1,E3)/IF(K3=0,1,K3)), 2)</f>
        <v>19.350000000000001</v>
      </c>
    </row>
    <row r="4" spans="1:13" ht="30.75" customHeight="1">
      <c r="A4" s="7">
        <v>2</v>
      </c>
      <c r="B4" s="8" t="s">
        <v>41</v>
      </c>
      <c r="C4" s="21" t="s">
        <v>623</v>
      </c>
      <c r="D4" s="24">
        <v>0</v>
      </c>
      <c r="E4" s="24">
        <v>425.66</v>
      </c>
      <c r="F4" s="21" t="s">
        <v>623</v>
      </c>
      <c r="G4" s="24">
        <v>0</v>
      </c>
      <c r="H4" s="24">
        <v>86.26</v>
      </c>
      <c r="I4" s="21" t="s">
        <v>623</v>
      </c>
      <c r="J4" s="24">
        <v>0</v>
      </c>
      <c r="K4" s="24">
        <v>21.02</v>
      </c>
      <c r="L4" s="48">
        <f t="shared" ref="L4:L9" si="0">ROUND(IF(E4&lt;H4, -(H4/IF(E4=0,1,E4)), IF(E4=0,1,E4)/IF(H4=0,1,H4)), 2)</f>
        <v>4.93</v>
      </c>
      <c r="M4" s="48">
        <f t="shared" ref="M4:M9" si="1">ROUND(IF(E4&lt;K4, -(K4/IF(E4=0,1,E4)), IF(E4=0,1,E4)/IF(K4=0,1,K4)), 2)</f>
        <v>20.25</v>
      </c>
    </row>
    <row r="5" spans="1:13" ht="30.75" customHeight="1">
      <c r="A5" s="7">
        <v>3</v>
      </c>
      <c r="B5" s="8" t="s">
        <v>42</v>
      </c>
      <c r="C5" s="21" t="s">
        <v>624</v>
      </c>
      <c r="D5" s="24">
        <v>0</v>
      </c>
      <c r="E5" s="24">
        <v>430.96</v>
      </c>
      <c r="F5" s="21" t="s">
        <v>624</v>
      </c>
      <c r="G5" s="24">
        <v>0</v>
      </c>
      <c r="H5" s="24">
        <v>87.52</v>
      </c>
      <c r="I5" s="21" t="s">
        <v>624</v>
      </c>
      <c r="J5" s="24">
        <v>0</v>
      </c>
      <c r="K5" s="24">
        <v>20.37</v>
      </c>
      <c r="L5" s="48">
        <f t="shared" si="0"/>
        <v>4.92</v>
      </c>
      <c r="M5" s="48">
        <f t="shared" si="1"/>
        <v>21.16</v>
      </c>
    </row>
    <row r="6" spans="1:13" ht="30.75" customHeight="1">
      <c r="A6" s="7">
        <v>4</v>
      </c>
      <c r="B6" s="8" t="s">
        <v>43</v>
      </c>
      <c r="C6" s="21" t="s">
        <v>625</v>
      </c>
      <c r="D6" s="24">
        <v>0</v>
      </c>
      <c r="E6" s="24">
        <v>203.29</v>
      </c>
      <c r="F6" s="21" t="s">
        <v>625</v>
      </c>
      <c r="G6" s="24">
        <v>0</v>
      </c>
      <c r="H6" s="24">
        <v>47.1</v>
      </c>
      <c r="I6" s="21" t="s">
        <v>625</v>
      </c>
      <c r="J6" s="24">
        <v>0</v>
      </c>
      <c r="K6" s="24">
        <v>12.12</v>
      </c>
      <c r="L6" s="48">
        <f t="shared" si="0"/>
        <v>4.32</v>
      </c>
      <c r="M6" s="48">
        <f t="shared" si="1"/>
        <v>16.77</v>
      </c>
    </row>
    <row r="7" spans="1:13" ht="30.75" customHeight="1">
      <c r="A7" s="7">
        <v>5</v>
      </c>
      <c r="B7" s="8" t="s">
        <v>44</v>
      </c>
      <c r="C7" s="21" t="s">
        <v>626</v>
      </c>
      <c r="D7" s="24">
        <v>0</v>
      </c>
      <c r="E7" s="24">
        <v>0.5</v>
      </c>
      <c r="F7" s="21" t="s">
        <v>626</v>
      </c>
      <c r="G7" s="24">
        <v>0</v>
      </c>
      <c r="H7" s="24">
        <v>10.31</v>
      </c>
      <c r="I7" s="21" t="s">
        <v>626</v>
      </c>
      <c r="J7" s="24">
        <v>0</v>
      </c>
      <c r="K7" s="24">
        <v>4.5</v>
      </c>
      <c r="L7" s="48">
        <f t="shared" si="0"/>
        <v>-20.62</v>
      </c>
      <c r="M7" s="48">
        <f t="shared" si="1"/>
        <v>-9</v>
      </c>
    </row>
    <row r="8" spans="1:13" ht="30.75" customHeight="1">
      <c r="A8" s="7">
        <v>6</v>
      </c>
      <c r="B8" s="8" t="s">
        <v>45</v>
      </c>
      <c r="C8" s="21" t="s">
        <v>627</v>
      </c>
      <c r="D8" s="24">
        <v>0</v>
      </c>
      <c r="E8" s="24">
        <v>0.26</v>
      </c>
      <c r="F8" s="21" t="s">
        <v>627</v>
      </c>
      <c r="G8" s="24">
        <v>0</v>
      </c>
      <c r="H8" s="24">
        <v>10.82</v>
      </c>
      <c r="I8" s="21" t="s">
        <v>627</v>
      </c>
      <c r="J8" s="24">
        <v>0</v>
      </c>
      <c r="K8" s="24">
        <v>4.75</v>
      </c>
      <c r="L8" s="48">
        <f t="shared" si="0"/>
        <v>-41.62</v>
      </c>
      <c r="M8" s="48">
        <f t="shared" si="1"/>
        <v>-18.27</v>
      </c>
    </row>
    <row r="9" spans="1:13" ht="30.75" customHeight="1">
      <c r="A9" s="7">
        <v>7</v>
      </c>
      <c r="B9" s="8" t="s">
        <v>506</v>
      </c>
      <c r="C9" s="21" t="s">
        <v>628</v>
      </c>
      <c r="D9" s="24">
        <v>0</v>
      </c>
      <c r="E9" s="24">
        <v>4.7</v>
      </c>
      <c r="F9" s="21" t="s">
        <v>628</v>
      </c>
      <c r="G9" s="24">
        <v>0</v>
      </c>
      <c r="H9" s="24">
        <v>11.46</v>
      </c>
      <c r="I9" s="21" t="s">
        <v>628</v>
      </c>
      <c r="J9" s="24">
        <v>0</v>
      </c>
      <c r="K9" s="24">
        <v>4.91</v>
      </c>
      <c r="L9" s="48">
        <f>ROUND(IF(E9&lt;H9, -(H9/IF(E9=0,1,E9)), IF(E9=0,1,E9)/IF(H9=0,1,H9)), 2)</f>
        <v>-2.44</v>
      </c>
      <c r="M9" s="48">
        <f>ROUND(IF(E9&lt;K9, -(K9/IF(E9=0,1,E9)), IF(E9=0,1,E9)/IF(K9=0,1,K9)), 2)</f>
        <v>-1.04</v>
      </c>
    </row>
    <row r="10" spans="1:13" ht="30.75" customHeight="1">
      <c r="A10" s="7">
        <v>8</v>
      </c>
      <c r="B10" s="8"/>
      <c r="C10" s="21" t="s">
        <v>634</v>
      </c>
      <c r="D10" s="24">
        <v>0.5</v>
      </c>
      <c r="E10" s="24">
        <v>849.28</v>
      </c>
      <c r="F10" s="21" t="s">
        <v>634</v>
      </c>
      <c r="G10" s="24">
        <v>0.5</v>
      </c>
      <c r="H10" s="24">
        <v>156.22999999999999</v>
      </c>
      <c r="I10" s="21" t="s">
        <v>634</v>
      </c>
      <c r="J10" s="24">
        <v>0.5</v>
      </c>
      <c r="K10" s="24">
        <v>39.33</v>
      </c>
      <c r="L10" s="48">
        <f t="shared" ref="L10:L51" si="2">ROUND(IF(E10&lt;H10, -(H10/IF(E10=0,1,E10)), IF(E10=0,1,E10)/IF(H10=0,1,H10)), 2)</f>
        <v>5.44</v>
      </c>
      <c r="M10" s="48">
        <f t="shared" ref="M10:M51" si="3">ROUND(IF(E10&lt;K10, -(K10/IF(E10=0,1,E10)), IF(E10=0,1,E10)/IF(K10=0,1,K10)), 2)</f>
        <v>21.59</v>
      </c>
    </row>
    <row r="11" spans="1:13" ht="30.75" customHeight="1">
      <c r="A11" s="7">
        <v>9</v>
      </c>
      <c r="B11" s="8"/>
      <c r="C11" s="21" t="s">
        <v>635</v>
      </c>
      <c r="D11" s="24">
        <v>0</v>
      </c>
      <c r="E11" s="24">
        <v>404.43</v>
      </c>
      <c r="F11" s="21" t="s">
        <v>635</v>
      </c>
      <c r="G11" s="24">
        <v>0</v>
      </c>
      <c r="H11" s="24">
        <v>76.52</v>
      </c>
      <c r="I11" s="21" t="s">
        <v>635</v>
      </c>
      <c r="J11" s="24">
        <v>0</v>
      </c>
      <c r="K11" s="24">
        <v>18.41</v>
      </c>
      <c r="L11" s="48">
        <f t="shared" si="2"/>
        <v>5.29</v>
      </c>
      <c r="M11" s="48">
        <f t="shared" si="3"/>
        <v>21.97</v>
      </c>
    </row>
    <row r="12" spans="1:13" ht="30.75" customHeight="1">
      <c r="A12" s="7">
        <v>10</v>
      </c>
      <c r="B12" s="8"/>
      <c r="C12" s="21" t="s">
        <v>636</v>
      </c>
      <c r="D12" s="24">
        <v>0</v>
      </c>
      <c r="E12" s="24">
        <v>414.55</v>
      </c>
      <c r="F12" s="21" t="s">
        <v>636</v>
      </c>
      <c r="G12" s="24">
        <v>0</v>
      </c>
      <c r="H12" s="24">
        <v>76.84</v>
      </c>
      <c r="I12" s="21" t="s">
        <v>636</v>
      </c>
      <c r="J12" s="24">
        <v>0</v>
      </c>
      <c r="K12" s="24">
        <v>18.8</v>
      </c>
      <c r="L12" s="48">
        <f t="shared" si="2"/>
        <v>5.39</v>
      </c>
      <c r="M12" s="48">
        <f t="shared" si="3"/>
        <v>22.05</v>
      </c>
    </row>
    <row r="13" spans="1:13" ht="30.75" customHeight="1">
      <c r="A13" s="7">
        <v>11</v>
      </c>
      <c r="B13" s="8"/>
      <c r="C13" s="21" t="s">
        <v>637</v>
      </c>
      <c r="D13" s="24">
        <v>0</v>
      </c>
      <c r="E13" s="24">
        <v>200.43</v>
      </c>
      <c r="F13" s="21" t="s">
        <v>637</v>
      </c>
      <c r="G13" s="24">
        <v>0</v>
      </c>
      <c r="H13" s="24">
        <v>42.33</v>
      </c>
      <c r="I13" s="21" t="s">
        <v>637</v>
      </c>
      <c r="J13" s="24">
        <v>0</v>
      </c>
      <c r="K13" s="24">
        <v>11.35</v>
      </c>
      <c r="L13" s="48">
        <f t="shared" si="2"/>
        <v>4.7300000000000004</v>
      </c>
      <c r="M13" s="48">
        <f t="shared" si="3"/>
        <v>17.66</v>
      </c>
    </row>
    <row r="14" spans="1:13" ht="30.75" customHeight="1">
      <c r="A14" s="7">
        <v>12</v>
      </c>
      <c r="B14" s="8"/>
      <c r="C14" s="21" t="s">
        <v>638</v>
      </c>
      <c r="D14" s="24">
        <v>0</v>
      </c>
      <c r="E14" s="24">
        <v>0.48</v>
      </c>
      <c r="F14" s="21" t="s">
        <v>638</v>
      </c>
      <c r="G14" s="24">
        <v>0</v>
      </c>
      <c r="H14" s="24">
        <v>9.44</v>
      </c>
      <c r="I14" s="21" t="s">
        <v>638</v>
      </c>
      <c r="J14" s="24">
        <v>0</v>
      </c>
      <c r="K14" s="24">
        <v>4.6100000000000003</v>
      </c>
      <c r="L14" s="48">
        <f t="shared" si="2"/>
        <v>-19.670000000000002</v>
      </c>
      <c r="M14" s="48">
        <f t="shared" si="3"/>
        <v>-9.6</v>
      </c>
    </row>
    <row r="15" spans="1:13" ht="30.75" customHeight="1">
      <c r="A15" s="7">
        <v>13</v>
      </c>
      <c r="B15" s="8"/>
      <c r="C15" s="21" t="s">
        <v>639</v>
      </c>
      <c r="D15" s="24">
        <v>0</v>
      </c>
      <c r="E15" s="24">
        <v>0.23</v>
      </c>
      <c r="F15" s="21" t="s">
        <v>639</v>
      </c>
      <c r="G15" s="24">
        <v>0</v>
      </c>
      <c r="H15" s="24">
        <v>9.59</v>
      </c>
      <c r="I15" s="21" t="s">
        <v>639</v>
      </c>
      <c r="J15" s="24">
        <v>0</v>
      </c>
      <c r="K15" s="24">
        <v>4.84</v>
      </c>
      <c r="L15" s="48">
        <f t="shared" si="2"/>
        <v>-41.7</v>
      </c>
      <c r="M15" s="48">
        <f t="shared" si="3"/>
        <v>-21.04</v>
      </c>
    </row>
    <row r="16" spans="1:13" ht="30.75" customHeight="1">
      <c r="A16" s="7">
        <v>14</v>
      </c>
      <c r="B16" s="8"/>
      <c r="C16" s="21" t="s">
        <v>640</v>
      </c>
      <c r="D16" s="24">
        <v>0</v>
      </c>
      <c r="E16" s="24">
        <v>4.4800000000000004</v>
      </c>
      <c r="F16" s="21" t="s">
        <v>640</v>
      </c>
      <c r="G16" s="24">
        <v>0</v>
      </c>
      <c r="H16" s="24">
        <v>10.67</v>
      </c>
      <c r="I16" s="21" t="s">
        <v>641</v>
      </c>
      <c r="J16" s="24">
        <v>0.5</v>
      </c>
      <c r="K16" s="24">
        <v>41.77</v>
      </c>
      <c r="L16" s="48">
        <f t="shared" si="2"/>
        <v>-2.38</v>
      </c>
      <c r="M16" s="48">
        <f t="shared" si="3"/>
        <v>-9.32</v>
      </c>
    </row>
    <row r="17" spans="1:13" ht="30.75" customHeight="1">
      <c r="A17" s="7">
        <v>15</v>
      </c>
      <c r="B17" s="8"/>
      <c r="C17" s="21" t="s">
        <v>641</v>
      </c>
      <c r="D17" s="24">
        <v>0.5</v>
      </c>
      <c r="E17" s="24">
        <v>811</v>
      </c>
      <c r="F17" s="21" t="s">
        <v>641</v>
      </c>
      <c r="G17" s="24">
        <v>0.5</v>
      </c>
      <c r="H17" s="24">
        <v>154.97</v>
      </c>
      <c r="I17" s="21" t="s">
        <v>642</v>
      </c>
      <c r="J17" s="24">
        <v>0</v>
      </c>
      <c r="K17" s="24">
        <v>18.79</v>
      </c>
      <c r="L17" s="48">
        <f t="shared" si="2"/>
        <v>5.23</v>
      </c>
      <c r="M17" s="48">
        <f t="shared" si="3"/>
        <v>43.16</v>
      </c>
    </row>
    <row r="18" spans="1:13" ht="30.75" customHeight="1">
      <c r="A18" s="7">
        <v>16</v>
      </c>
      <c r="B18" s="8"/>
      <c r="C18" s="21" t="s">
        <v>642</v>
      </c>
      <c r="D18" s="24">
        <v>0</v>
      </c>
      <c r="E18" s="24">
        <v>408.56</v>
      </c>
      <c r="F18" s="21" t="s">
        <v>642</v>
      </c>
      <c r="G18" s="24">
        <v>0</v>
      </c>
      <c r="H18" s="24">
        <v>76.3</v>
      </c>
      <c r="I18" s="21" t="s">
        <v>643</v>
      </c>
      <c r="J18" s="24">
        <v>0</v>
      </c>
      <c r="K18" s="24">
        <v>18.78</v>
      </c>
      <c r="L18" s="48">
        <f t="shared" si="2"/>
        <v>5.35</v>
      </c>
      <c r="M18" s="48">
        <f t="shared" si="3"/>
        <v>21.76</v>
      </c>
    </row>
    <row r="19" spans="1:13" ht="30.75" customHeight="1">
      <c r="A19" s="7">
        <v>17</v>
      </c>
      <c r="B19" s="8"/>
      <c r="C19" s="21" t="s">
        <v>643</v>
      </c>
      <c r="D19" s="24">
        <v>0</v>
      </c>
      <c r="E19" s="24">
        <v>387.17</v>
      </c>
      <c r="F19" s="21" t="s">
        <v>643</v>
      </c>
      <c r="G19" s="24">
        <v>0</v>
      </c>
      <c r="H19" s="24">
        <v>77.260000000000005</v>
      </c>
      <c r="I19" s="21" t="s">
        <v>644</v>
      </c>
      <c r="J19" s="24">
        <v>0</v>
      </c>
      <c r="K19" s="24">
        <v>11.06</v>
      </c>
      <c r="L19" s="48">
        <f t="shared" si="2"/>
        <v>5.01</v>
      </c>
      <c r="M19" s="48">
        <f t="shared" si="3"/>
        <v>35.01</v>
      </c>
    </row>
    <row r="20" spans="1:13" ht="30.75" customHeight="1">
      <c r="A20" s="7">
        <v>18</v>
      </c>
      <c r="B20" s="8"/>
      <c r="C20" s="21" t="s">
        <v>644</v>
      </c>
      <c r="D20" s="24">
        <v>0</v>
      </c>
      <c r="E20" s="24">
        <v>188.9</v>
      </c>
      <c r="F20" s="21" t="s">
        <v>644</v>
      </c>
      <c r="G20" s="24">
        <v>0</v>
      </c>
      <c r="H20" s="24">
        <v>41.75</v>
      </c>
      <c r="I20" s="21" t="s">
        <v>645</v>
      </c>
      <c r="J20" s="24">
        <v>0</v>
      </c>
      <c r="K20" s="24">
        <v>4.16</v>
      </c>
      <c r="L20" s="48">
        <f t="shared" si="2"/>
        <v>4.5199999999999996</v>
      </c>
      <c r="M20" s="48">
        <f t="shared" si="3"/>
        <v>45.41</v>
      </c>
    </row>
    <row r="21" spans="1:13" ht="30.75" customHeight="1">
      <c r="A21" s="7">
        <v>19</v>
      </c>
      <c r="B21" s="8"/>
      <c r="C21" s="21" t="s">
        <v>645</v>
      </c>
      <c r="D21" s="24">
        <v>0</v>
      </c>
      <c r="E21" s="24">
        <v>0.49</v>
      </c>
      <c r="F21" s="21" t="s">
        <v>645</v>
      </c>
      <c r="G21" s="24">
        <v>0</v>
      </c>
      <c r="H21" s="24">
        <v>9.59</v>
      </c>
      <c r="I21" s="21" t="s">
        <v>646</v>
      </c>
      <c r="J21" s="24">
        <v>0</v>
      </c>
      <c r="K21" s="24">
        <v>4.12</v>
      </c>
      <c r="L21" s="48">
        <f t="shared" si="2"/>
        <v>-19.57</v>
      </c>
      <c r="M21" s="48">
        <f t="shared" si="3"/>
        <v>-8.41</v>
      </c>
    </row>
    <row r="22" spans="1:13" ht="30.75" customHeight="1">
      <c r="A22" s="7">
        <v>20</v>
      </c>
      <c r="B22" s="8"/>
      <c r="C22" s="21" t="s">
        <v>646</v>
      </c>
      <c r="D22" s="24">
        <v>0</v>
      </c>
      <c r="E22" s="24">
        <v>0.24</v>
      </c>
      <c r="F22" s="21" t="s">
        <v>646</v>
      </c>
      <c r="G22" s="24">
        <v>0</v>
      </c>
      <c r="H22" s="24">
        <v>9.4600000000000009</v>
      </c>
      <c r="I22" s="21" t="s">
        <v>647</v>
      </c>
      <c r="J22" s="24">
        <v>0</v>
      </c>
      <c r="K22" s="24">
        <v>4.38</v>
      </c>
      <c r="L22" s="48">
        <f t="shared" si="2"/>
        <v>-39.42</v>
      </c>
      <c r="M22" s="48">
        <f t="shared" si="3"/>
        <v>-18.25</v>
      </c>
    </row>
    <row r="23" spans="1:13" ht="30.75" customHeight="1">
      <c r="A23" s="7">
        <v>21</v>
      </c>
      <c r="B23" s="8"/>
      <c r="C23" s="21" t="s">
        <v>647</v>
      </c>
      <c r="D23" s="24">
        <v>0</v>
      </c>
      <c r="E23" s="24">
        <v>4.42</v>
      </c>
      <c r="F23" s="21" t="s">
        <v>647</v>
      </c>
      <c r="G23" s="24">
        <v>0</v>
      </c>
      <c r="H23" s="24">
        <v>10.57</v>
      </c>
      <c r="I23" s="21" t="s">
        <v>648</v>
      </c>
      <c r="J23" s="24">
        <v>0.5</v>
      </c>
      <c r="K23" s="24">
        <v>35.53</v>
      </c>
      <c r="L23" s="48">
        <f t="shared" si="2"/>
        <v>-2.39</v>
      </c>
      <c r="M23" s="48">
        <f t="shared" si="3"/>
        <v>-8.0399999999999991</v>
      </c>
    </row>
    <row r="24" spans="1:13" ht="30.75" customHeight="1">
      <c r="A24" s="7">
        <v>22</v>
      </c>
      <c r="B24" s="8"/>
      <c r="C24" s="21" t="s">
        <v>648</v>
      </c>
      <c r="D24" s="24">
        <v>0.5</v>
      </c>
      <c r="E24" s="24">
        <v>811.21</v>
      </c>
      <c r="F24" s="21" t="s">
        <v>648</v>
      </c>
      <c r="G24" s="24">
        <v>0.5</v>
      </c>
      <c r="H24" s="24">
        <v>147.38</v>
      </c>
      <c r="I24" s="21" t="s">
        <v>649</v>
      </c>
      <c r="J24" s="24">
        <v>0</v>
      </c>
      <c r="K24" s="24">
        <v>17.309999999999999</v>
      </c>
      <c r="L24" s="48">
        <f t="shared" si="2"/>
        <v>5.5</v>
      </c>
      <c r="M24" s="48">
        <f t="shared" si="3"/>
        <v>46.86</v>
      </c>
    </row>
    <row r="25" spans="1:13" ht="30.75" customHeight="1">
      <c r="A25" s="7">
        <v>23</v>
      </c>
      <c r="B25" s="8"/>
      <c r="C25" s="21" t="s">
        <v>649</v>
      </c>
      <c r="D25" s="24">
        <v>0</v>
      </c>
      <c r="E25" s="24">
        <v>370.76</v>
      </c>
      <c r="F25" s="21" t="s">
        <v>649</v>
      </c>
      <c r="G25" s="24">
        <v>0</v>
      </c>
      <c r="H25" s="24">
        <v>73.78</v>
      </c>
      <c r="I25" s="21" t="s">
        <v>649</v>
      </c>
      <c r="J25" s="24">
        <v>0</v>
      </c>
      <c r="K25" s="24">
        <v>18.62</v>
      </c>
      <c r="L25" s="48">
        <f t="shared" si="2"/>
        <v>5.03</v>
      </c>
      <c r="M25" s="48">
        <f t="shared" si="3"/>
        <v>19.91</v>
      </c>
    </row>
    <row r="26" spans="1:13" ht="30.75" customHeight="1">
      <c r="A26" s="7">
        <v>24</v>
      </c>
      <c r="B26" s="8"/>
      <c r="C26" s="21" t="s">
        <v>650</v>
      </c>
      <c r="D26" s="24">
        <v>0</v>
      </c>
      <c r="E26" s="24">
        <v>364.4</v>
      </c>
      <c r="F26" s="21" t="s">
        <v>650</v>
      </c>
      <c r="G26" s="24">
        <v>0</v>
      </c>
      <c r="H26" s="24">
        <v>73.72</v>
      </c>
      <c r="I26" s="21" t="s">
        <v>650</v>
      </c>
      <c r="J26" s="24">
        <v>0</v>
      </c>
      <c r="K26" s="24">
        <v>18.64</v>
      </c>
      <c r="L26" s="48">
        <f t="shared" si="2"/>
        <v>4.9400000000000004</v>
      </c>
      <c r="M26" s="48">
        <f t="shared" si="3"/>
        <v>19.55</v>
      </c>
    </row>
    <row r="27" spans="1:13" ht="30.75" customHeight="1">
      <c r="A27" s="7">
        <v>25</v>
      </c>
      <c r="B27" s="8"/>
      <c r="C27" s="21" t="s">
        <v>651</v>
      </c>
      <c r="D27" s="24">
        <v>0</v>
      </c>
      <c r="E27" s="24">
        <v>172.97</v>
      </c>
      <c r="F27" s="21" t="s">
        <v>651</v>
      </c>
      <c r="G27" s="24">
        <v>0</v>
      </c>
      <c r="H27" s="24">
        <v>40.4</v>
      </c>
      <c r="I27" s="21" t="s">
        <v>651</v>
      </c>
      <c r="J27" s="24">
        <v>0</v>
      </c>
      <c r="K27" s="24">
        <v>11.62</v>
      </c>
      <c r="L27" s="48">
        <f t="shared" si="2"/>
        <v>4.28</v>
      </c>
      <c r="M27" s="48">
        <f t="shared" si="3"/>
        <v>14.89</v>
      </c>
    </row>
    <row r="28" spans="1:13" ht="30.75" customHeight="1">
      <c r="A28" s="7">
        <v>26</v>
      </c>
      <c r="B28" s="8"/>
      <c r="C28" s="21" t="s">
        <v>652</v>
      </c>
      <c r="D28" s="24">
        <v>0</v>
      </c>
      <c r="E28" s="24">
        <v>0.43</v>
      </c>
      <c r="F28" s="21" t="s">
        <v>652</v>
      </c>
      <c r="G28" s="24">
        <v>0</v>
      </c>
      <c r="H28" s="24">
        <v>9.66</v>
      </c>
      <c r="I28" s="21" t="s">
        <v>652</v>
      </c>
      <c r="J28" s="24">
        <v>0</v>
      </c>
      <c r="K28" s="24">
        <v>4.6900000000000004</v>
      </c>
      <c r="L28" s="48">
        <f t="shared" si="2"/>
        <v>-22.47</v>
      </c>
      <c r="M28" s="48">
        <f t="shared" si="3"/>
        <v>-10.91</v>
      </c>
    </row>
    <row r="29" spans="1:13" ht="30.75" customHeight="1">
      <c r="A29" s="7">
        <v>27</v>
      </c>
      <c r="B29" s="8"/>
      <c r="C29" s="21" t="s">
        <v>653</v>
      </c>
      <c r="D29" s="24">
        <v>0</v>
      </c>
      <c r="E29" s="24">
        <v>0.21</v>
      </c>
      <c r="F29" s="21" t="s">
        <v>653</v>
      </c>
      <c r="G29" s="24">
        <v>0</v>
      </c>
      <c r="H29" s="24">
        <v>9.6</v>
      </c>
      <c r="I29" s="21" t="s">
        <v>653</v>
      </c>
      <c r="J29" s="24">
        <v>0</v>
      </c>
      <c r="K29" s="24">
        <v>5.39</v>
      </c>
      <c r="L29" s="48">
        <f t="shared" si="2"/>
        <v>-45.71</v>
      </c>
      <c r="M29" s="48">
        <f t="shared" si="3"/>
        <v>-25.67</v>
      </c>
    </row>
    <row r="30" spans="1:13" ht="30.75" customHeight="1">
      <c r="A30" s="7">
        <v>28</v>
      </c>
      <c r="B30" s="8"/>
      <c r="C30" s="21" t="s">
        <v>654</v>
      </c>
      <c r="D30" s="24">
        <v>0</v>
      </c>
      <c r="E30" s="24">
        <v>4</v>
      </c>
      <c r="F30" s="21" t="s">
        <v>654</v>
      </c>
      <c r="G30" s="24">
        <v>0</v>
      </c>
      <c r="H30" s="24">
        <v>10.68</v>
      </c>
      <c r="I30" s="21" t="s">
        <v>654</v>
      </c>
      <c r="J30" s="24">
        <v>0</v>
      </c>
      <c r="K30" s="24">
        <v>4.8</v>
      </c>
      <c r="L30" s="48">
        <f t="shared" si="2"/>
        <v>-2.67</v>
      </c>
      <c r="M30" s="48">
        <f t="shared" si="3"/>
        <v>-1.2</v>
      </c>
    </row>
    <row r="31" spans="1:13" ht="30.75" customHeight="1">
      <c r="A31" s="7">
        <v>29</v>
      </c>
      <c r="B31" s="8"/>
      <c r="C31" s="21" t="s">
        <v>655</v>
      </c>
      <c r="D31" s="24">
        <v>0.5</v>
      </c>
      <c r="E31" s="24">
        <v>474.71</v>
      </c>
      <c r="F31" s="21" t="s">
        <v>655</v>
      </c>
      <c r="G31" s="24">
        <v>0.5</v>
      </c>
      <c r="H31" s="24">
        <v>79.02</v>
      </c>
      <c r="I31" s="21" t="s">
        <v>655</v>
      </c>
      <c r="J31" s="24">
        <v>0.5</v>
      </c>
      <c r="K31" s="24">
        <v>18.809999999999999</v>
      </c>
      <c r="L31" s="48">
        <f t="shared" si="2"/>
        <v>6.01</v>
      </c>
      <c r="M31" s="48">
        <f t="shared" si="3"/>
        <v>25.24</v>
      </c>
    </row>
    <row r="32" spans="1:13" ht="30.75" customHeight="1">
      <c r="A32" s="7">
        <v>30</v>
      </c>
      <c r="B32" s="8"/>
      <c r="C32" s="21" t="s">
        <v>656</v>
      </c>
      <c r="D32" s="24">
        <v>0</v>
      </c>
      <c r="E32" s="24">
        <v>218.66</v>
      </c>
      <c r="F32" s="21" t="s">
        <v>656</v>
      </c>
      <c r="G32" s="24">
        <v>0</v>
      </c>
      <c r="H32" s="24">
        <v>42.63</v>
      </c>
      <c r="I32" s="21" t="s">
        <v>656</v>
      </c>
      <c r="J32" s="24">
        <v>0</v>
      </c>
      <c r="K32" s="24">
        <v>10.31</v>
      </c>
      <c r="L32" s="48">
        <f t="shared" si="2"/>
        <v>5.13</v>
      </c>
      <c r="M32" s="48">
        <f t="shared" si="3"/>
        <v>21.21</v>
      </c>
    </row>
    <row r="33" spans="1:13" ht="30.75" customHeight="1">
      <c r="A33" s="7">
        <v>31</v>
      </c>
      <c r="B33" s="8"/>
      <c r="C33" s="21" t="s">
        <v>657</v>
      </c>
      <c r="D33" s="24">
        <v>0</v>
      </c>
      <c r="E33" s="24">
        <v>218.24</v>
      </c>
      <c r="F33" s="21" t="s">
        <v>657</v>
      </c>
      <c r="G33" s="24">
        <v>0</v>
      </c>
      <c r="H33" s="24">
        <v>42.71</v>
      </c>
      <c r="I33" s="21" t="s">
        <v>657</v>
      </c>
      <c r="J33" s="24">
        <v>0</v>
      </c>
      <c r="K33" s="24">
        <v>9.77</v>
      </c>
      <c r="L33" s="48">
        <f t="shared" si="2"/>
        <v>5.1100000000000003</v>
      </c>
      <c r="M33" s="48">
        <f t="shared" si="3"/>
        <v>22.34</v>
      </c>
    </row>
    <row r="34" spans="1:13" ht="30.75" customHeight="1">
      <c r="A34" s="7">
        <v>32</v>
      </c>
      <c r="B34" s="8"/>
      <c r="C34" s="21" t="s">
        <v>658</v>
      </c>
      <c r="D34" s="24">
        <v>0</v>
      </c>
      <c r="E34" s="24">
        <v>101.15</v>
      </c>
      <c r="F34" s="21" t="s">
        <v>658</v>
      </c>
      <c r="G34" s="24">
        <v>0</v>
      </c>
      <c r="H34" s="24">
        <v>25.62</v>
      </c>
      <c r="I34" s="21" t="s">
        <v>658</v>
      </c>
      <c r="J34" s="24">
        <v>0</v>
      </c>
      <c r="K34" s="24">
        <v>7.11</v>
      </c>
      <c r="L34" s="48">
        <f t="shared" si="2"/>
        <v>3.95</v>
      </c>
      <c r="M34" s="48">
        <f t="shared" si="3"/>
        <v>14.23</v>
      </c>
    </row>
    <row r="35" spans="1:13" ht="30.75" customHeight="1">
      <c r="A35" s="7">
        <v>33</v>
      </c>
      <c r="B35" s="8"/>
      <c r="C35" s="21" t="s">
        <v>659</v>
      </c>
      <c r="D35" s="24">
        <v>0</v>
      </c>
      <c r="E35" s="24">
        <v>0.25</v>
      </c>
      <c r="F35" s="21" t="s">
        <v>659</v>
      </c>
      <c r="G35" s="24">
        <v>0</v>
      </c>
      <c r="H35" s="24">
        <v>9.3699999999999992</v>
      </c>
      <c r="I35" s="21" t="s">
        <v>659</v>
      </c>
      <c r="J35" s="24">
        <v>0</v>
      </c>
      <c r="K35" s="24">
        <v>3.94</v>
      </c>
      <c r="L35" s="48">
        <f t="shared" si="2"/>
        <v>-37.479999999999997</v>
      </c>
      <c r="M35" s="48">
        <f t="shared" si="3"/>
        <v>-15.76</v>
      </c>
    </row>
    <row r="36" spans="1:13" ht="30.75" customHeight="1">
      <c r="A36" s="7">
        <v>34</v>
      </c>
      <c r="B36" s="8"/>
      <c r="C36" s="21" t="s">
        <v>660</v>
      </c>
      <c r="D36" s="24">
        <v>0.01</v>
      </c>
      <c r="E36" s="24">
        <v>0.13</v>
      </c>
      <c r="F36" s="21" t="s">
        <v>660</v>
      </c>
      <c r="G36" s="24">
        <v>0.01</v>
      </c>
      <c r="H36" s="24">
        <v>9.39</v>
      </c>
      <c r="I36" s="21" t="s">
        <v>660</v>
      </c>
      <c r="J36" s="24">
        <v>0.01</v>
      </c>
      <c r="K36" s="24">
        <v>3.93</v>
      </c>
      <c r="L36" s="48">
        <f t="shared" si="2"/>
        <v>-72.23</v>
      </c>
      <c r="M36" s="48">
        <f t="shared" si="3"/>
        <v>-30.23</v>
      </c>
    </row>
    <row r="37" spans="1:13" ht="30.75" customHeight="1">
      <c r="A37" s="7">
        <v>35</v>
      </c>
      <c r="B37" s="8"/>
      <c r="C37" s="21" t="s">
        <v>661</v>
      </c>
      <c r="D37" s="24">
        <v>0</v>
      </c>
      <c r="E37" s="24">
        <v>2.33</v>
      </c>
      <c r="F37" s="21" t="s">
        <v>661</v>
      </c>
      <c r="G37" s="24">
        <v>0</v>
      </c>
      <c r="H37" s="24">
        <v>9.98</v>
      </c>
      <c r="I37" s="21" t="s">
        <v>661</v>
      </c>
      <c r="J37" s="24">
        <v>0</v>
      </c>
      <c r="K37" s="24">
        <v>3.98</v>
      </c>
      <c r="L37" s="48">
        <f t="shared" si="2"/>
        <v>-4.28</v>
      </c>
      <c r="M37" s="48">
        <f t="shared" si="3"/>
        <v>-1.71</v>
      </c>
    </row>
    <row r="38" spans="1:13" ht="30.75" customHeight="1">
      <c r="A38" s="7">
        <v>36</v>
      </c>
      <c r="B38" s="8"/>
      <c r="C38" s="21" t="s">
        <v>662</v>
      </c>
      <c r="D38" s="24">
        <v>0.5</v>
      </c>
      <c r="E38" s="24">
        <v>434.31</v>
      </c>
      <c r="F38" s="21" t="s">
        <v>662</v>
      </c>
      <c r="G38" s="24">
        <v>0.5</v>
      </c>
      <c r="H38" s="24">
        <v>73.98</v>
      </c>
      <c r="I38" s="21" t="s">
        <v>662</v>
      </c>
      <c r="J38" s="24">
        <v>0.5</v>
      </c>
      <c r="K38" s="24">
        <v>15.99</v>
      </c>
      <c r="L38" s="48">
        <f t="shared" si="2"/>
        <v>5.87</v>
      </c>
      <c r="M38" s="48">
        <f t="shared" si="3"/>
        <v>27.16</v>
      </c>
    </row>
    <row r="39" spans="1:13" ht="30.75" customHeight="1">
      <c r="A39" s="7">
        <v>37</v>
      </c>
      <c r="B39" s="8"/>
      <c r="C39" s="21" t="s">
        <v>663</v>
      </c>
      <c r="D39" s="24">
        <v>0</v>
      </c>
      <c r="E39" s="24">
        <v>205.94</v>
      </c>
      <c r="F39" s="21" t="s">
        <v>663</v>
      </c>
      <c r="G39" s="24">
        <v>0</v>
      </c>
      <c r="H39" s="24">
        <v>39.74</v>
      </c>
      <c r="I39" s="21" t="s">
        <v>663</v>
      </c>
      <c r="J39" s="24">
        <v>0</v>
      </c>
      <c r="K39" s="24">
        <v>9.1300000000000008</v>
      </c>
      <c r="L39" s="48">
        <f t="shared" si="2"/>
        <v>5.18</v>
      </c>
      <c r="M39" s="48">
        <f t="shared" si="3"/>
        <v>22.56</v>
      </c>
    </row>
    <row r="40" spans="1:13" ht="30.75" customHeight="1">
      <c r="A40" s="7">
        <v>38</v>
      </c>
      <c r="B40" s="8"/>
      <c r="C40" s="21" t="s">
        <v>664</v>
      </c>
      <c r="D40" s="24">
        <v>0</v>
      </c>
      <c r="E40" s="24">
        <v>194.04</v>
      </c>
      <c r="F40" s="21" t="s">
        <v>664</v>
      </c>
      <c r="G40" s="24">
        <v>0</v>
      </c>
      <c r="H40" s="24">
        <v>40.270000000000003</v>
      </c>
      <c r="I40" s="21" t="s">
        <v>664</v>
      </c>
      <c r="J40" s="24">
        <v>0</v>
      </c>
      <c r="K40" s="24">
        <v>9.5299999999999994</v>
      </c>
      <c r="L40" s="48">
        <f t="shared" si="2"/>
        <v>4.82</v>
      </c>
      <c r="M40" s="48">
        <f t="shared" si="3"/>
        <v>20.36</v>
      </c>
    </row>
    <row r="41" spans="1:13" ht="30.75" customHeight="1">
      <c r="A41" s="7">
        <v>39</v>
      </c>
      <c r="B41" s="8"/>
      <c r="C41" s="21" t="s">
        <v>665</v>
      </c>
      <c r="D41" s="24">
        <v>0</v>
      </c>
      <c r="E41" s="24">
        <v>91.84</v>
      </c>
      <c r="F41" s="21" t="s">
        <v>665</v>
      </c>
      <c r="G41" s="24">
        <v>0</v>
      </c>
      <c r="H41" s="24">
        <v>24.66</v>
      </c>
      <c r="I41" s="21" t="s">
        <v>665</v>
      </c>
      <c r="J41" s="24">
        <v>0</v>
      </c>
      <c r="K41" s="24">
        <v>6.46</v>
      </c>
      <c r="L41" s="48">
        <f t="shared" si="2"/>
        <v>3.72</v>
      </c>
      <c r="M41" s="48">
        <f t="shared" si="3"/>
        <v>14.22</v>
      </c>
    </row>
    <row r="42" spans="1:13" ht="30.75" customHeight="1">
      <c r="A42" s="7">
        <v>40</v>
      </c>
      <c r="B42" s="8"/>
      <c r="C42" s="21" t="s">
        <v>666</v>
      </c>
      <c r="D42" s="24">
        <v>0</v>
      </c>
      <c r="E42" s="24">
        <v>0.23</v>
      </c>
      <c r="F42" s="21" t="s">
        <v>666</v>
      </c>
      <c r="G42" s="24">
        <v>0</v>
      </c>
      <c r="H42" s="24">
        <v>9.61</v>
      </c>
      <c r="I42" s="21" t="s">
        <v>666</v>
      </c>
      <c r="J42" s="24">
        <v>0</v>
      </c>
      <c r="K42" s="24">
        <v>3.93</v>
      </c>
      <c r="L42" s="48">
        <f t="shared" si="2"/>
        <v>-41.78</v>
      </c>
      <c r="M42" s="48">
        <f t="shared" si="3"/>
        <v>-17.09</v>
      </c>
    </row>
    <row r="43" spans="1:13" ht="30.75" customHeight="1">
      <c r="A43" s="7">
        <v>41</v>
      </c>
      <c r="B43" s="8"/>
      <c r="C43" s="21" t="s">
        <v>667</v>
      </c>
      <c r="D43" s="24">
        <v>0</v>
      </c>
      <c r="E43" s="24">
        <v>0.11</v>
      </c>
      <c r="F43" s="21" t="s">
        <v>667</v>
      </c>
      <c r="G43" s="24">
        <v>0</v>
      </c>
      <c r="H43" s="24">
        <v>9.44</v>
      </c>
      <c r="I43" s="21" t="s">
        <v>667</v>
      </c>
      <c r="J43" s="24">
        <v>0</v>
      </c>
      <c r="K43" s="24">
        <v>4.05</v>
      </c>
      <c r="L43" s="48">
        <f t="shared" si="2"/>
        <v>-85.82</v>
      </c>
      <c r="M43" s="48">
        <f t="shared" si="3"/>
        <v>-36.82</v>
      </c>
    </row>
    <row r="44" spans="1:13" ht="30.75" customHeight="1">
      <c r="A44" s="7">
        <v>42</v>
      </c>
      <c r="B44" s="8"/>
      <c r="C44" s="21" t="s">
        <v>668</v>
      </c>
      <c r="D44" s="24">
        <v>0.01</v>
      </c>
      <c r="E44" s="24">
        <v>2.14</v>
      </c>
      <c r="F44" s="21" t="s">
        <v>668</v>
      </c>
      <c r="G44" s="24">
        <v>0.01</v>
      </c>
      <c r="H44" s="24">
        <v>10.02</v>
      </c>
      <c r="I44" s="21" t="s">
        <v>668</v>
      </c>
      <c r="J44" s="24">
        <v>0.01</v>
      </c>
      <c r="K44" s="24">
        <v>4.01</v>
      </c>
      <c r="L44" s="48">
        <f t="shared" si="2"/>
        <v>-4.68</v>
      </c>
      <c r="M44" s="48">
        <f t="shared" si="3"/>
        <v>-1.87</v>
      </c>
    </row>
    <row r="45" spans="1:13" ht="30.75" customHeight="1">
      <c r="A45" s="7">
        <v>43</v>
      </c>
      <c r="B45" s="8"/>
      <c r="C45" s="21" t="s">
        <v>669</v>
      </c>
      <c r="D45" s="24">
        <v>0.5</v>
      </c>
      <c r="E45" s="24">
        <v>582.45000000000005</v>
      </c>
      <c r="F45" s="21" t="s">
        <v>669</v>
      </c>
      <c r="G45" s="24">
        <v>0.5</v>
      </c>
      <c r="H45" s="24">
        <v>123.59</v>
      </c>
      <c r="I45" s="21" t="s">
        <v>669</v>
      </c>
      <c r="J45" s="24">
        <v>0.5</v>
      </c>
      <c r="K45" s="24">
        <v>23.88</v>
      </c>
      <c r="L45" s="48">
        <f t="shared" si="2"/>
        <v>4.71</v>
      </c>
      <c r="M45" s="48">
        <f t="shared" si="3"/>
        <v>24.39</v>
      </c>
    </row>
    <row r="46" spans="1:13" ht="30.75" customHeight="1">
      <c r="A46" s="7">
        <v>44</v>
      </c>
      <c r="B46" s="8"/>
      <c r="C46" s="21" t="s">
        <v>670</v>
      </c>
      <c r="D46" s="24">
        <v>0</v>
      </c>
      <c r="E46" s="24">
        <v>276.83</v>
      </c>
      <c r="F46" s="21" t="s">
        <v>670</v>
      </c>
      <c r="G46" s="24">
        <v>0</v>
      </c>
      <c r="H46" s="24">
        <v>62.08</v>
      </c>
      <c r="I46" s="21" t="s">
        <v>670</v>
      </c>
      <c r="J46" s="24">
        <v>0</v>
      </c>
      <c r="K46" s="24">
        <v>11.76</v>
      </c>
      <c r="L46" s="48">
        <f t="shared" si="2"/>
        <v>4.46</v>
      </c>
      <c r="M46" s="48">
        <f t="shared" si="3"/>
        <v>23.54</v>
      </c>
    </row>
    <row r="47" spans="1:13" ht="30.75" customHeight="1">
      <c r="A47" s="7">
        <v>45</v>
      </c>
      <c r="B47" s="8"/>
      <c r="C47" s="21" t="s">
        <v>671</v>
      </c>
      <c r="D47" s="24">
        <v>0</v>
      </c>
      <c r="E47" s="24">
        <v>281.55</v>
      </c>
      <c r="F47" s="21" t="s">
        <v>671</v>
      </c>
      <c r="G47" s="24">
        <v>0</v>
      </c>
      <c r="H47" s="24">
        <v>62.92</v>
      </c>
      <c r="I47" s="21" t="s">
        <v>671</v>
      </c>
      <c r="J47" s="24">
        <v>0</v>
      </c>
      <c r="K47" s="24">
        <v>11.64</v>
      </c>
      <c r="L47" s="48">
        <f t="shared" si="2"/>
        <v>4.47</v>
      </c>
      <c r="M47" s="48">
        <f t="shared" si="3"/>
        <v>24.19</v>
      </c>
    </row>
    <row r="48" spans="1:13" ht="30.75" customHeight="1">
      <c r="A48" s="7">
        <v>46</v>
      </c>
      <c r="B48" s="8"/>
      <c r="C48" s="21" t="s">
        <v>672</v>
      </c>
      <c r="D48" s="24">
        <v>0</v>
      </c>
      <c r="E48" s="24">
        <v>133.69999999999999</v>
      </c>
      <c r="F48" s="21" t="s">
        <v>672</v>
      </c>
      <c r="G48" s="24">
        <v>0</v>
      </c>
      <c r="H48" s="24">
        <v>35.15</v>
      </c>
      <c r="I48" s="21" t="s">
        <v>672</v>
      </c>
      <c r="J48" s="24">
        <v>0</v>
      </c>
      <c r="K48" s="24">
        <v>7.8</v>
      </c>
      <c r="L48" s="48">
        <f t="shared" si="2"/>
        <v>3.8</v>
      </c>
      <c r="M48" s="48">
        <f t="shared" si="3"/>
        <v>17.14</v>
      </c>
    </row>
    <row r="49" spans="1:13" ht="30.75" customHeight="1">
      <c r="A49" s="7">
        <v>47</v>
      </c>
      <c r="B49" s="8"/>
      <c r="C49" s="21" t="s">
        <v>673</v>
      </c>
      <c r="D49" s="24">
        <v>0</v>
      </c>
      <c r="E49" s="24">
        <v>0.33</v>
      </c>
      <c r="F49" s="21" t="s">
        <v>673</v>
      </c>
      <c r="G49" s="24">
        <v>0</v>
      </c>
      <c r="H49" s="24">
        <v>9.41</v>
      </c>
      <c r="I49" s="21" t="s">
        <v>673</v>
      </c>
      <c r="J49" s="24">
        <v>0</v>
      </c>
      <c r="K49" s="24">
        <v>3.97</v>
      </c>
      <c r="L49" s="48">
        <f t="shared" si="2"/>
        <v>-28.52</v>
      </c>
      <c r="M49" s="48">
        <f t="shared" si="3"/>
        <v>-12.03</v>
      </c>
    </row>
    <row r="50" spans="1:13" ht="30.75" customHeight="1">
      <c r="A50" s="7">
        <v>48</v>
      </c>
      <c r="B50" s="8"/>
      <c r="C50" s="21" t="s">
        <v>674</v>
      </c>
      <c r="D50" s="24">
        <v>0</v>
      </c>
      <c r="E50" s="24">
        <v>0.18</v>
      </c>
      <c r="F50" s="21" t="s">
        <v>674</v>
      </c>
      <c r="G50" s="24">
        <v>0</v>
      </c>
      <c r="H50" s="24">
        <v>9.33</v>
      </c>
      <c r="I50" s="21" t="s">
        <v>674</v>
      </c>
      <c r="J50" s="24">
        <v>0</v>
      </c>
      <c r="K50" s="24">
        <v>3.9</v>
      </c>
      <c r="L50" s="48">
        <f t="shared" si="2"/>
        <v>-51.83</v>
      </c>
      <c r="M50" s="48">
        <f t="shared" si="3"/>
        <v>-21.67</v>
      </c>
    </row>
    <row r="51" spans="1:13" ht="30.75" customHeight="1">
      <c r="A51" s="7">
        <v>49</v>
      </c>
      <c r="B51" s="8"/>
      <c r="C51" s="21" t="s">
        <v>675</v>
      </c>
      <c r="D51" s="24">
        <v>0.01</v>
      </c>
      <c r="E51" s="24">
        <v>3.1</v>
      </c>
      <c r="F51" s="21" t="s">
        <v>675</v>
      </c>
      <c r="G51" s="24">
        <v>0.01</v>
      </c>
      <c r="H51" s="24">
        <v>10.199999999999999</v>
      </c>
      <c r="I51" s="21" t="s">
        <v>675</v>
      </c>
      <c r="J51" s="24">
        <v>0.01</v>
      </c>
      <c r="K51" s="24">
        <v>4.0999999999999996</v>
      </c>
      <c r="L51" s="48">
        <f t="shared" si="2"/>
        <v>-3.29</v>
      </c>
      <c r="M51" s="48">
        <f t="shared" si="3"/>
        <v>-1.32</v>
      </c>
    </row>
    <row r="52" spans="1:13" ht="30.75" customHeight="1">
      <c r="F52" s="94" t="s">
        <v>370</v>
      </c>
      <c r="G52" s="94"/>
      <c r="H52" s="94"/>
      <c r="I52" s="37"/>
      <c r="J52" s="52"/>
      <c r="K52" s="52"/>
      <c r="L52" s="19">
        <f>AVERAGE(L$3:L$51)</f>
        <v>-9.2534693877551017</v>
      </c>
      <c r="M52" s="19">
        <f>AVERAGE(M$3:M$51)</f>
        <v>7.8506122448979614</v>
      </c>
    </row>
    <row r="53" spans="1:13" ht="30.75" customHeight="1">
      <c r="F53" s="95" t="s">
        <v>371</v>
      </c>
      <c r="G53" s="95"/>
      <c r="H53" s="95"/>
      <c r="I53" s="38"/>
      <c r="J53" s="53"/>
      <c r="K53" s="53"/>
      <c r="L53" s="15">
        <f>MIN(L$3:L$51)</f>
        <v>-85.82</v>
      </c>
      <c r="M53" s="15">
        <f>MIN(M$3:M$51)</f>
        <v>-36.82</v>
      </c>
    </row>
    <row r="54" spans="1:13" ht="30.75" customHeight="1">
      <c r="F54" s="96" t="s">
        <v>372</v>
      </c>
      <c r="G54" s="96"/>
      <c r="H54" s="96"/>
      <c r="I54" s="39"/>
      <c r="J54" s="54"/>
      <c r="K54" s="54"/>
      <c r="L54" s="17">
        <f>MAX(L$3:L$51)</f>
        <v>6.01</v>
      </c>
      <c r="M54" s="17">
        <f>MAX(M$3:M$51)</f>
        <v>46.86</v>
      </c>
    </row>
    <row r="55" spans="1:13" ht="30.75" customHeight="1">
      <c r="L55" s="51" t="s">
        <v>529</v>
      </c>
      <c r="M55" s="44" t="s">
        <v>579</v>
      </c>
    </row>
  </sheetData>
  <mergeCells count="9">
    <mergeCell ref="L1:M1"/>
    <mergeCell ref="F52:H52"/>
    <mergeCell ref="F53:H53"/>
    <mergeCell ref="F54:H54"/>
    <mergeCell ref="A1:A2"/>
    <mergeCell ref="B1:B2"/>
    <mergeCell ref="C1:E1"/>
    <mergeCell ref="F1:H1"/>
    <mergeCell ref="I1:K1"/>
  </mergeCells>
  <conditionalFormatting sqref="M3:M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M2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5:M55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6:M1048576 L3:L51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6B9C-A37F-4F57-977C-155239694EF5}">
  <dimension ref="A1:AH59"/>
  <sheetViews>
    <sheetView tabSelected="1" topLeftCell="A6" zoomScaleNormal="100" workbookViewId="0">
      <selection activeCell="G41" sqref="G41"/>
    </sheetView>
  </sheetViews>
  <sheetFormatPr baseColWidth="10" defaultRowHeight="15"/>
  <cols>
    <col min="1" max="1" width="11.140625" bestFit="1" customWidth="1"/>
    <col min="2" max="2" width="10.85546875" bestFit="1" customWidth="1"/>
    <col min="3" max="3" width="8.28515625" bestFit="1" customWidth="1"/>
    <col min="4" max="4" width="9.7109375" bestFit="1" customWidth="1"/>
    <col min="5" max="5" width="12.140625" bestFit="1" customWidth="1"/>
    <col min="6" max="6" width="11.140625" bestFit="1" customWidth="1"/>
    <col min="7" max="7" width="11.42578125" bestFit="1" customWidth="1"/>
    <col min="8" max="8" width="10" bestFit="1" customWidth="1"/>
    <col min="9" max="10" width="10.5703125" bestFit="1" customWidth="1"/>
  </cols>
  <sheetData>
    <row r="1" spans="1:34" s="1" customFormat="1" ht="21.75" thickBot="1">
      <c r="A1" s="110" t="s">
        <v>682</v>
      </c>
      <c r="B1" s="110"/>
      <c r="C1" s="110"/>
      <c r="D1" s="110"/>
      <c r="E1" s="110"/>
      <c r="F1" s="110"/>
      <c r="G1" s="110"/>
      <c r="H1" s="110"/>
      <c r="I1" s="110"/>
      <c r="J1" s="110"/>
      <c r="L1" s="107" t="s">
        <v>629</v>
      </c>
      <c r="M1" s="108"/>
      <c r="N1" s="108"/>
      <c r="O1" s="108"/>
      <c r="P1" s="108"/>
      <c r="Q1" s="108"/>
      <c r="R1" s="108"/>
      <c r="S1" s="108"/>
      <c r="T1" s="108"/>
      <c r="U1" s="108"/>
      <c r="V1" s="109"/>
      <c r="X1" s="107" t="s">
        <v>631</v>
      </c>
      <c r="Y1" s="108"/>
      <c r="Z1" s="108"/>
      <c r="AA1" s="108"/>
      <c r="AB1" s="108"/>
      <c r="AC1" s="108"/>
      <c r="AD1" s="108"/>
      <c r="AE1" s="108"/>
      <c r="AF1" s="108"/>
      <c r="AG1" s="108"/>
      <c r="AH1" s="109"/>
    </row>
    <row r="2" spans="1:34" ht="36.75" customHeight="1">
      <c r="A2" s="61"/>
      <c r="B2" s="86" t="s">
        <v>614</v>
      </c>
      <c r="C2" s="86"/>
      <c r="D2" s="86"/>
      <c r="E2" s="87" t="s">
        <v>617</v>
      </c>
      <c r="F2" s="87"/>
      <c r="G2" s="87"/>
      <c r="H2" s="111" t="s">
        <v>618</v>
      </c>
      <c r="I2" s="111"/>
      <c r="J2" s="111"/>
      <c r="L2" s="75"/>
      <c r="M2" s="76"/>
      <c r="N2" s="76"/>
      <c r="O2" s="76"/>
      <c r="P2" s="76"/>
      <c r="Q2" s="76"/>
      <c r="R2" s="76"/>
      <c r="S2" s="76"/>
      <c r="T2" s="76"/>
      <c r="U2" s="76"/>
      <c r="V2" s="77"/>
      <c r="X2" s="81"/>
      <c r="Y2" s="82"/>
      <c r="Z2" s="82"/>
      <c r="AA2" s="82"/>
      <c r="AB2" s="82"/>
      <c r="AC2" s="82"/>
      <c r="AD2" s="82"/>
      <c r="AE2" s="82"/>
      <c r="AF2" s="82"/>
      <c r="AG2" s="82"/>
      <c r="AH2" s="83"/>
    </row>
    <row r="3" spans="1:34" ht="21">
      <c r="A3" s="63" t="s">
        <v>613</v>
      </c>
      <c r="B3" s="60" t="s">
        <v>619</v>
      </c>
      <c r="C3" s="59" t="s">
        <v>615</v>
      </c>
      <c r="D3" s="58" t="s">
        <v>616</v>
      </c>
      <c r="E3" s="60" t="s">
        <v>619</v>
      </c>
      <c r="F3" s="59" t="s">
        <v>615</v>
      </c>
      <c r="G3" s="58" t="s">
        <v>616</v>
      </c>
      <c r="H3" s="60" t="s">
        <v>619</v>
      </c>
      <c r="I3" s="59" t="s">
        <v>615</v>
      </c>
      <c r="J3" s="58" t="s">
        <v>616</v>
      </c>
      <c r="L3" s="75"/>
      <c r="M3" s="76"/>
      <c r="N3" s="76"/>
      <c r="O3" s="76"/>
      <c r="P3" s="76"/>
      <c r="Q3" s="76"/>
      <c r="R3" s="76"/>
      <c r="S3" s="76"/>
      <c r="T3" s="76"/>
      <c r="U3" s="76"/>
      <c r="V3" s="77"/>
      <c r="X3" s="75"/>
      <c r="Y3" s="76"/>
      <c r="Z3" s="76"/>
      <c r="AA3" s="76"/>
      <c r="AB3" s="76"/>
      <c r="AC3" s="76"/>
      <c r="AD3" s="76"/>
      <c r="AE3" s="76"/>
      <c r="AF3" s="76"/>
      <c r="AG3" s="76"/>
      <c r="AH3" s="77"/>
    </row>
    <row r="4" spans="1:34" ht="21">
      <c r="A4" s="63">
        <v>3</v>
      </c>
      <c r="B4" s="66">
        <f>'3 Elementos'!L53</f>
        <v>0</v>
      </c>
      <c r="C4" s="65">
        <f>'3 Elementos'!L52</f>
        <v>7.6530612244897961E-2</v>
      </c>
      <c r="D4" s="64">
        <f>'3 Elementos'!L54</f>
        <v>0.25</v>
      </c>
      <c r="E4" s="66">
        <f>'3 Elementos'!M53</f>
        <v>0</v>
      </c>
      <c r="F4" s="65">
        <f>'3 Elementos'!M52</f>
        <v>7.6530612244897961E-2</v>
      </c>
      <c r="G4" s="64">
        <f>'3 Elementos'!M54</f>
        <v>0.25</v>
      </c>
      <c r="H4" s="67"/>
      <c r="I4" s="67"/>
      <c r="J4" s="67"/>
      <c r="L4" s="75"/>
      <c r="M4" s="76"/>
      <c r="N4" s="76"/>
      <c r="O4" s="76"/>
      <c r="P4" s="76"/>
      <c r="Q4" s="76"/>
      <c r="R4" s="76"/>
      <c r="S4" s="76"/>
      <c r="T4" s="76"/>
      <c r="U4" s="76"/>
      <c r="V4" s="77"/>
      <c r="X4" s="75"/>
      <c r="Y4" s="76"/>
      <c r="Z4" s="76"/>
      <c r="AA4" s="76"/>
      <c r="AB4" s="76"/>
      <c r="AC4" s="76"/>
      <c r="AD4" s="76"/>
      <c r="AE4" s="76"/>
      <c r="AF4" s="76"/>
      <c r="AG4" s="76"/>
      <c r="AH4" s="77"/>
    </row>
    <row r="5" spans="1:34" ht="21">
      <c r="A5" s="63">
        <v>5</v>
      </c>
      <c r="B5" s="66">
        <f>'5 Elementos'!L53</f>
        <v>0</v>
      </c>
      <c r="C5" s="65">
        <f>'5 Elementos'!L52</f>
        <v>1.7959183673469388E-2</v>
      </c>
      <c r="D5" s="64">
        <f>'5 Elementos'!L54</f>
        <v>0.5</v>
      </c>
      <c r="E5" s="66">
        <f>'5 Elementos'!M53</f>
        <v>0</v>
      </c>
      <c r="F5" s="65">
        <f>'5 Elementos'!M52</f>
        <v>1.7959183673469388E-2</v>
      </c>
      <c r="G5" s="64">
        <f>'5 Elementos'!M54</f>
        <v>0.5</v>
      </c>
      <c r="H5" s="67"/>
      <c r="I5" s="67"/>
      <c r="J5" s="67"/>
      <c r="L5" s="75"/>
      <c r="M5" s="76"/>
      <c r="N5" s="76"/>
      <c r="O5" s="76"/>
      <c r="P5" s="76"/>
      <c r="Q5" s="76"/>
      <c r="R5" s="76"/>
      <c r="S5" s="76"/>
      <c r="T5" s="76"/>
      <c r="U5" s="76"/>
      <c r="V5" s="77"/>
      <c r="X5" s="75"/>
      <c r="Y5" s="76"/>
      <c r="Z5" s="76"/>
      <c r="AA5" s="76"/>
      <c r="AB5" s="76"/>
      <c r="AC5" s="76"/>
      <c r="AD5" s="76"/>
      <c r="AE5" s="76"/>
      <c r="AF5" s="76"/>
      <c r="AG5" s="76"/>
      <c r="AH5" s="77"/>
    </row>
    <row r="6" spans="1:34" ht="21">
      <c r="A6" s="63">
        <v>10</v>
      </c>
      <c r="B6" s="66">
        <f>'10 Elementos'!L53</f>
        <v>0</v>
      </c>
      <c r="C6" s="65">
        <f>'10 Elementos'!L52</f>
        <v>4.251700680272113E-4</v>
      </c>
      <c r="D6" s="64">
        <f>'10 Elementos'!L54</f>
        <v>2.0833333333333353E-2</v>
      </c>
      <c r="E6" s="66">
        <f>'10 Elementos'!M53</f>
        <v>0</v>
      </c>
      <c r="F6" s="65">
        <f>'10 Elementos'!M52</f>
        <v>4.251700680272113E-4</v>
      </c>
      <c r="G6" s="64">
        <f>'10 Elementos'!M54</f>
        <v>2.0833333333333353E-2</v>
      </c>
      <c r="H6" s="67"/>
      <c r="I6" s="67"/>
      <c r="J6" s="67"/>
      <c r="L6" s="75"/>
      <c r="M6" s="76"/>
      <c r="N6" s="76"/>
      <c r="O6" s="76"/>
      <c r="P6" s="76"/>
      <c r="Q6" s="76"/>
      <c r="R6" s="76"/>
      <c r="S6" s="76"/>
      <c r="T6" s="76"/>
      <c r="U6" s="76"/>
      <c r="V6" s="77"/>
      <c r="X6" s="75"/>
      <c r="Y6" s="76"/>
      <c r="Z6" s="76"/>
      <c r="AA6" s="76"/>
      <c r="AB6" s="76"/>
      <c r="AC6" s="76"/>
      <c r="AD6" s="76"/>
      <c r="AE6" s="76"/>
      <c r="AF6" s="76"/>
      <c r="AG6" s="76"/>
      <c r="AH6" s="77"/>
    </row>
    <row r="7" spans="1:34" ht="21">
      <c r="A7" s="63">
        <v>15</v>
      </c>
      <c r="B7" s="66">
        <f>'15 Elementos'!O53</f>
        <v>0</v>
      </c>
      <c r="C7" s="65">
        <f>'15 Elementos'!O52</f>
        <v>1.0000000000000004E-2</v>
      </c>
      <c r="D7" s="64">
        <f>'15 Elementos'!O54</f>
        <v>0.03</v>
      </c>
      <c r="E7" s="66">
        <f>'15 Elementos'!P53</f>
        <v>0</v>
      </c>
      <c r="F7" s="65">
        <f>'15 Elementos'!P52</f>
        <v>1.0000000000000004E-2</v>
      </c>
      <c r="G7" s="64">
        <f>'15 Elementos'!P54</f>
        <v>0.03</v>
      </c>
      <c r="H7" s="66">
        <f>'15 Elementos'!Q53</f>
        <v>0</v>
      </c>
      <c r="I7" s="65">
        <f>'15 Elementos'!Q52</f>
        <v>1.0000000000000004E-2</v>
      </c>
      <c r="J7" s="64">
        <f>'15 Elementos'!Q54</f>
        <v>0.03</v>
      </c>
      <c r="L7" s="75"/>
      <c r="M7" s="76"/>
      <c r="N7" s="76"/>
      <c r="O7" s="76"/>
      <c r="P7" s="76"/>
      <c r="Q7" s="76"/>
      <c r="R7" s="76"/>
      <c r="S7" s="76"/>
      <c r="T7" s="76"/>
      <c r="U7" s="76"/>
      <c r="V7" s="77"/>
      <c r="X7" s="75"/>
      <c r="Y7" s="76"/>
      <c r="Z7" s="76"/>
      <c r="AA7" s="76"/>
      <c r="AB7" s="76"/>
      <c r="AC7" s="76"/>
      <c r="AD7" s="76"/>
      <c r="AE7" s="76"/>
      <c r="AF7" s="76"/>
      <c r="AG7" s="76"/>
      <c r="AH7" s="77"/>
    </row>
    <row r="8" spans="1:34" ht="21">
      <c r="A8" s="63">
        <v>20</v>
      </c>
      <c r="B8" s="66">
        <f>'20 Elementos'!O53</f>
        <v>0</v>
      </c>
      <c r="C8" s="65">
        <f>'20 Elementos'!O52</f>
        <v>0</v>
      </c>
      <c r="D8" s="64">
        <f>'20 Elementos'!O54</f>
        <v>0</v>
      </c>
      <c r="E8" s="66">
        <f>'20 Elementos'!P53</f>
        <v>0</v>
      </c>
      <c r="F8" s="65">
        <f>'20 Elementos'!P52</f>
        <v>0</v>
      </c>
      <c r="G8" s="64">
        <f>'20 Elementos'!P54</f>
        <v>0</v>
      </c>
      <c r="H8" s="66">
        <f>'20 Elementos'!Q53</f>
        <v>0</v>
      </c>
      <c r="I8" s="65">
        <f>'20 Elementos'!Q52</f>
        <v>0</v>
      </c>
      <c r="J8" s="64">
        <f>'20 Elementos'!Q54</f>
        <v>0</v>
      </c>
      <c r="L8" s="75"/>
      <c r="M8" s="76"/>
      <c r="N8" s="76"/>
      <c r="O8" s="76"/>
      <c r="P8" s="76"/>
      <c r="Q8" s="76"/>
      <c r="R8" s="76"/>
      <c r="S8" s="76"/>
      <c r="T8" s="76"/>
      <c r="U8" s="76"/>
      <c r="V8" s="77"/>
      <c r="X8" s="75"/>
      <c r="Y8" s="76"/>
      <c r="Z8" s="76"/>
      <c r="AA8" s="76"/>
      <c r="AB8" s="76"/>
      <c r="AC8" s="76"/>
      <c r="AD8" s="76"/>
      <c r="AE8" s="76"/>
      <c r="AF8" s="76"/>
      <c r="AG8" s="76"/>
      <c r="AH8" s="77"/>
    </row>
    <row r="9" spans="1:34" ht="21">
      <c r="A9" s="63">
        <v>21</v>
      </c>
      <c r="B9" s="113"/>
      <c r="C9" s="113"/>
      <c r="D9" s="113"/>
      <c r="E9" s="113"/>
      <c r="F9" s="113"/>
      <c r="G9" s="113"/>
      <c r="H9" s="67"/>
      <c r="I9" s="67"/>
      <c r="J9" s="67"/>
      <c r="L9" s="75"/>
      <c r="M9" s="76"/>
      <c r="N9" s="76"/>
      <c r="O9" s="76"/>
      <c r="P9" s="76"/>
      <c r="Q9" s="76"/>
      <c r="R9" s="76"/>
      <c r="S9" s="76"/>
      <c r="T9" s="76"/>
      <c r="U9" s="76"/>
      <c r="V9" s="77"/>
      <c r="X9" s="75"/>
      <c r="Y9" s="76"/>
      <c r="Z9" s="76"/>
      <c r="AA9" s="76"/>
      <c r="AB9" s="76"/>
      <c r="AC9" s="76"/>
      <c r="AD9" s="76"/>
      <c r="AE9" s="76"/>
      <c r="AF9" s="76"/>
      <c r="AG9" s="76"/>
      <c r="AH9" s="77"/>
    </row>
    <row r="10" spans="1:34" ht="18.75">
      <c r="A10" s="62" t="s">
        <v>620</v>
      </c>
      <c r="B10" s="68">
        <f t="shared" ref="B10:G10" si="0">AVERAGE(B4:B9)</f>
        <v>0</v>
      </c>
      <c r="C10" s="68">
        <f t="shared" si="0"/>
        <v>2.0982993197278914E-2</v>
      </c>
      <c r="D10" s="68">
        <f t="shared" si="0"/>
        <v>0.16016666666666668</v>
      </c>
      <c r="E10" s="68">
        <f t="shared" si="0"/>
        <v>0</v>
      </c>
      <c r="F10" s="68">
        <f t="shared" si="0"/>
        <v>2.0982993197278914E-2</v>
      </c>
      <c r="G10" s="68">
        <f t="shared" si="0"/>
        <v>0.16016666666666668</v>
      </c>
      <c r="H10" s="68">
        <f>AVERAGE(H7:H9)</f>
        <v>0</v>
      </c>
      <c r="I10" s="68">
        <f>AVERAGE(I7:I9)</f>
        <v>5.0000000000000018E-3</v>
      </c>
      <c r="J10" s="68">
        <f>AVERAGE(J7:J9)</f>
        <v>1.4999999999999999E-2</v>
      </c>
      <c r="L10" s="75"/>
      <c r="M10" s="76"/>
      <c r="N10" s="76"/>
      <c r="O10" s="76"/>
      <c r="P10" s="76"/>
      <c r="Q10" s="76"/>
      <c r="R10" s="76"/>
      <c r="S10" s="76"/>
      <c r="T10" s="76"/>
      <c r="U10" s="76"/>
      <c r="V10" s="77"/>
      <c r="X10" s="75"/>
      <c r="Y10" s="76"/>
      <c r="Z10" s="76"/>
      <c r="AA10" s="76"/>
      <c r="AB10" s="76"/>
      <c r="AC10" s="76"/>
      <c r="AD10" s="76"/>
      <c r="AE10" s="76"/>
      <c r="AF10" s="76"/>
      <c r="AG10" s="76"/>
      <c r="AH10" s="77"/>
    </row>
    <row r="11" spans="1:34">
      <c r="L11" s="75"/>
      <c r="M11" s="76"/>
      <c r="N11" s="76"/>
      <c r="O11" s="76"/>
      <c r="P11" s="76"/>
      <c r="Q11" s="76"/>
      <c r="R11" s="76"/>
      <c r="S11" s="76"/>
      <c r="T11" s="76"/>
      <c r="U11" s="76"/>
      <c r="V11" s="77"/>
      <c r="X11" s="75"/>
      <c r="Y11" s="76"/>
      <c r="Z11" s="76"/>
      <c r="AA11" s="76"/>
      <c r="AB11" s="76"/>
      <c r="AC11" s="76"/>
      <c r="AD11" s="76"/>
      <c r="AE11" s="76"/>
      <c r="AF11" s="76"/>
      <c r="AG11" s="76"/>
      <c r="AH11" s="77"/>
    </row>
    <row r="12" spans="1:34" ht="21">
      <c r="A12" s="110" t="s">
        <v>621</v>
      </c>
      <c r="B12" s="110"/>
      <c r="C12" s="110"/>
      <c r="D12" s="110"/>
      <c r="E12" s="110"/>
      <c r="F12" s="110"/>
      <c r="G12" s="110"/>
      <c r="H12" s="110"/>
      <c r="I12" s="110"/>
      <c r="J12" s="110"/>
      <c r="L12" s="75"/>
      <c r="M12" s="76"/>
      <c r="N12" s="76"/>
      <c r="O12" s="76"/>
      <c r="P12" s="76"/>
      <c r="Q12" s="76"/>
      <c r="R12" s="76"/>
      <c r="S12" s="76"/>
      <c r="T12" s="76"/>
      <c r="U12" s="76"/>
      <c r="V12" s="77"/>
      <c r="X12" s="75"/>
      <c r="Y12" s="76"/>
      <c r="Z12" s="76"/>
      <c r="AA12" s="76"/>
      <c r="AB12" s="76"/>
      <c r="AC12" s="76"/>
      <c r="AD12" s="76"/>
      <c r="AE12" s="76"/>
      <c r="AF12" s="76"/>
      <c r="AG12" s="76"/>
      <c r="AH12" s="77"/>
    </row>
    <row r="13" spans="1:34" ht="35.25" customHeight="1">
      <c r="A13" s="61"/>
      <c r="B13" s="86" t="s">
        <v>614</v>
      </c>
      <c r="C13" s="86"/>
      <c r="D13" s="86"/>
      <c r="E13" s="87" t="s">
        <v>617</v>
      </c>
      <c r="F13" s="87"/>
      <c r="G13" s="87"/>
      <c r="H13" s="111" t="s">
        <v>618</v>
      </c>
      <c r="I13" s="111"/>
      <c r="J13" s="111"/>
      <c r="L13" s="75"/>
      <c r="M13" s="76"/>
      <c r="N13" s="76"/>
      <c r="O13" s="76"/>
      <c r="P13" s="76"/>
      <c r="Q13" s="76"/>
      <c r="R13" s="76"/>
      <c r="S13" s="76"/>
      <c r="T13" s="76"/>
      <c r="U13" s="76"/>
      <c r="V13" s="77"/>
      <c r="X13" s="75"/>
      <c r="Y13" s="76"/>
      <c r="Z13" s="76"/>
      <c r="AA13" s="76"/>
      <c r="AB13" s="76"/>
      <c r="AC13" s="76"/>
      <c r="AD13" s="76"/>
      <c r="AE13" s="76"/>
      <c r="AF13" s="76"/>
      <c r="AG13" s="76"/>
      <c r="AH13" s="77"/>
    </row>
    <row r="14" spans="1:34" ht="21">
      <c r="A14" s="63" t="s">
        <v>613</v>
      </c>
      <c r="B14" s="58" t="s">
        <v>619</v>
      </c>
      <c r="C14" s="59" t="s">
        <v>615</v>
      </c>
      <c r="D14" s="60" t="s">
        <v>616</v>
      </c>
      <c r="E14" s="58" t="s">
        <v>619</v>
      </c>
      <c r="F14" s="59" t="s">
        <v>615</v>
      </c>
      <c r="G14" s="60" t="s">
        <v>616</v>
      </c>
      <c r="H14" s="58" t="s">
        <v>619</v>
      </c>
      <c r="I14" s="59" t="s">
        <v>615</v>
      </c>
      <c r="J14" s="60" t="s">
        <v>616</v>
      </c>
      <c r="L14" s="75"/>
      <c r="M14" s="76"/>
      <c r="N14" s="76"/>
      <c r="O14" s="76"/>
      <c r="P14" s="76"/>
      <c r="Q14" s="76"/>
      <c r="R14" s="76"/>
      <c r="S14" s="76"/>
      <c r="T14" s="76"/>
      <c r="U14" s="76"/>
      <c r="V14" s="77"/>
      <c r="X14" s="75"/>
      <c r="Y14" s="76"/>
      <c r="Z14" s="76"/>
      <c r="AA14" s="76"/>
      <c r="AB14" s="76"/>
      <c r="AC14" s="76"/>
      <c r="AD14" s="76"/>
      <c r="AE14" s="76"/>
      <c r="AF14" s="76"/>
      <c r="AG14" s="76"/>
      <c r="AH14" s="77"/>
    </row>
    <row r="15" spans="1:34" ht="21">
      <c r="A15" s="63">
        <v>3</v>
      </c>
      <c r="B15" s="69">
        <f>'3 Elementos'!N$53</f>
        <v>0.01</v>
      </c>
      <c r="C15" s="70">
        <f>'3 Elementos'!N$52</f>
        <v>0.48775510204081646</v>
      </c>
      <c r="D15" s="74">
        <f>'3 Elementos'!N$54</f>
        <v>1</v>
      </c>
      <c r="E15" s="69">
        <f>'3 Elementos'!O$53</f>
        <v>-15.94</v>
      </c>
      <c r="F15" s="70">
        <f>'3 Elementos'!O$52</f>
        <v>-11.463265306122448</v>
      </c>
      <c r="G15" s="74">
        <f>'3 Elementos'!O$54</f>
        <v>-10.66</v>
      </c>
      <c r="H15" s="72"/>
      <c r="I15" s="72"/>
      <c r="J15" s="72"/>
      <c r="L15" s="75"/>
      <c r="M15" s="76"/>
      <c r="N15" s="76"/>
      <c r="O15" s="76"/>
      <c r="P15" s="76"/>
      <c r="Q15" s="76"/>
      <c r="R15" s="76"/>
      <c r="S15" s="76"/>
      <c r="T15" s="76"/>
      <c r="U15" s="76"/>
      <c r="V15" s="77"/>
      <c r="X15" s="75"/>
      <c r="Y15" s="76"/>
      <c r="Z15" s="76"/>
      <c r="AA15" s="76"/>
      <c r="AB15" s="76"/>
      <c r="AC15" s="76"/>
      <c r="AD15" s="76"/>
      <c r="AE15" s="76"/>
      <c r="AF15" s="76"/>
      <c r="AG15" s="76"/>
      <c r="AH15" s="77"/>
    </row>
    <row r="16" spans="1:34" ht="21.75" thickBot="1">
      <c r="A16" s="63">
        <v>5</v>
      </c>
      <c r="B16" s="69">
        <f>'5 Elementos'!N53</f>
        <v>-0.01</v>
      </c>
      <c r="C16" s="70">
        <f>'5 Elementos'!N52</f>
        <v>0.33061224489795915</v>
      </c>
      <c r="D16" s="71">
        <f>'5 Elementos'!N54</f>
        <v>1</v>
      </c>
      <c r="E16" s="69">
        <f>'5 Elementos'!O53</f>
        <v>-1475</v>
      </c>
      <c r="F16" s="70">
        <f>'5 Elementos'!O52</f>
        <v>-170.12877551020415</v>
      </c>
      <c r="G16" s="71">
        <f>'5 Elementos'!O54</f>
        <v>-9.4700000000000006</v>
      </c>
      <c r="H16" s="72"/>
      <c r="I16" s="72"/>
      <c r="J16" s="72"/>
      <c r="L16" s="78"/>
      <c r="M16" s="79"/>
      <c r="N16" s="79"/>
      <c r="O16" s="79"/>
      <c r="P16" s="79"/>
      <c r="Q16" s="79"/>
      <c r="R16" s="79"/>
      <c r="S16" s="79"/>
      <c r="T16" s="79"/>
      <c r="U16" s="79"/>
      <c r="V16" s="80"/>
      <c r="X16" s="75"/>
      <c r="Y16" s="76"/>
      <c r="Z16" s="76"/>
      <c r="AA16" s="76"/>
      <c r="AB16" s="76"/>
      <c r="AC16" s="76"/>
      <c r="AD16" s="76"/>
      <c r="AE16" s="76"/>
      <c r="AF16" s="76"/>
      <c r="AG16" s="76"/>
      <c r="AH16" s="77"/>
    </row>
    <row r="17" spans="1:34" ht="21.75" thickBot="1">
      <c r="A17" s="63">
        <v>10</v>
      </c>
      <c r="B17" s="69">
        <f>'10 Elementos'!N53</f>
        <v>0.12</v>
      </c>
      <c r="C17" s="70">
        <f>'10 Elementos'!N52</f>
        <v>298.78693877551018</v>
      </c>
      <c r="D17" s="71">
        <f>'10 Elementos'!N54</f>
        <v>1408</v>
      </c>
      <c r="E17" s="69">
        <f>'10 Elementos'!O53</f>
        <v>-1371</v>
      </c>
      <c r="F17" s="70">
        <f>'10 Elementos'!O52</f>
        <v>-495.69775510204073</v>
      </c>
      <c r="G17" s="71">
        <f>'10 Elementos'!O54</f>
        <v>-12.3</v>
      </c>
      <c r="H17" s="72"/>
      <c r="I17" s="72"/>
      <c r="J17" s="72"/>
      <c r="X17" s="75"/>
      <c r="Y17" s="76"/>
      <c r="Z17" s="76"/>
      <c r="AA17" s="76"/>
      <c r="AB17" s="76"/>
      <c r="AC17" s="76"/>
      <c r="AD17" s="76"/>
      <c r="AE17" s="76"/>
      <c r="AF17" s="76"/>
      <c r="AG17" s="76"/>
      <c r="AH17" s="77"/>
    </row>
    <row r="18" spans="1:34" ht="21.75" thickBot="1">
      <c r="A18" s="63">
        <v>15</v>
      </c>
      <c r="B18" s="69">
        <f>'15 Elementos'!R53</f>
        <v>-7.09</v>
      </c>
      <c r="C18" s="70">
        <f>'15 Elementos'!R52</f>
        <v>120.13020408163264</v>
      </c>
      <c r="D18" s="71">
        <f>'15 Elementos'!R54</f>
        <v>1940</v>
      </c>
      <c r="E18" s="69">
        <f>'15 Elementos'!S53</f>
        <v>-1161</v>
      </c>
      <c r="F18" s="70">
        <f>'15 Elementos'!S52</f>
        <v>-152.59755102040819</v>
      </c>
      <c r="G18" s="71">
        <f>'15 Elementos'!S54</f>
        <v>-1.88</v>
      </c>
      <c r="H18" s="69">
        <f>'15 Elementos'!T53</f>
        <v>-438</v>
      </c>
      <c r="I18" s="70">
        <f>'15 Elementos'!T52</f>
        <v>-57.753673469387763</v>
      </c>
      <c r="J18" s="71">
        <f>'15 Elementos'!T54</f>
        <v>1.1399999999999999</v>
      </c>
      <c r="L18" s="107" t="s">
        <v>630</v>
      </c>
      <c r="M18" s="108"/>
      <c r="N18" s="108"/>
      <c r="O18" s="108"/>
      <c r="P18" s="108"/>
      <c r="Q18" s="108"/>
      <c r="R18" s="108"/>
      <c r="S18" s="108"/>
      <c r="T18" s="108"/>
      <c r="U18" s="108"/>
      <c r="V18" s="109"/>
      <c r="X18" s="75"/>
      <c r="Y18" s="76"/>
      <c r="Z18" s="76"/>
      <c r="AA18" s="76"/>
      <c r="AB18" s="76"/>
      <c r="AC18" s="76"/>
      <c r="AD18" s="76"/>
      <c r="AE18" s="76"/>
      <c r="AF18" s="76"/>
      <c r="AG18" s="76"/>
      <c r="AH18" s="77"/>
    </row>
    <row r="19" spans="1:34" ht="21">
      <c r="A19" s="63">
        <v>20</v>
      </c>
      <c r="B19" s="69">
        <f>'20 Elementos'!R53</f>
        <v>-1.86</v>
      </c>
      <c r="C19" s="70">
        <f>'20 Elementos'!R52</f>
        <v>4.7626530612244906</v>
      </c>
      <c r="D19" s="71">
        <f>'20 Elementos'!R54</f>
        <v>21.04</v>
      </c>
      <c r="E19" s="69">
        <f>'20 Elementos'!S53</f>
        <v>-112.8</v>
      </c>
      <c r="F19" s="70">
        <f>'20 Elementos'!S52</f>
        <v>-19.527551020408161</v>
      </c>
      <c r="G19" s="71">
        <f>'20 Elementos'!S54</f>
        <v>4.67</v>
      </c>
      <c r="H19" s="69">
        <f>'20 Elementos'!U53</f>
        <v>-44.45</v>
      </c>
      <c r="I19" s="70">
        <f>'20 Elementos'!U52</f>
        <v>-0.25183673469387763</v>
      </c>
      <c r="J19" s="71">
        <f>'20 Elementos'!U54</f>
        <v>18.72</v>
      </c>
      <c r="L19" s="81"/>
      <c r="M19" s="82"/>
      <c r="N19" s="82"/>
      <c r="O19" s="82"/>
      <c r="P19" s="82"/>
      <c r="Q19" s="82"/>
      <c r="R19" s="82"/>
      <c r="S19" s="82"/>
      <c r="T19" s="82"/>
      <c r="U19" s="82"/>
      <c r="V19" s="83"/>
      <c r="X19" s="75"/>
      <c r="Y19" s="76"/>
      <c r="Z19" s="76"/>
      <c r="AA19" s="76"/>
      <c r="AB19" s="76"/>
      <c r="AC19" s="76"/>
      <c r="AD19" s="76"/>
      <c r="AE19" s="76"/>
      <c r="AF19" s="76"/>
      <c r="AG19" s="76"/>
      <c r="AH19" s="77"/>
    </row>
    <row r="20" spans="1:34" ht="21">
      <c r="A20" s="63">
        <v>21</v>
      </c>
      <c r="B20" s="69">
        <f>'21 Elementos'!R95</f>
        <v>0</v>
      </c>
      <c r="C20" s="70">
        <f>'21 Elementos'!R94</f>
        <v>0</v>
      </c>
      <c r="D20" s="71">
        <f>'21 Elementos'!R96</f>
        <v>0</v>
      </c>
      <c r="E20" s="69">
        <f>'21 Elementos'!L53</f>
        <v>-85.82</v>
      </c>
      <c r="F20" s="70">
        <f>'21 Elementos'!L52</f>
        <v>-9.2534693877551017</v>
      </c>
      <c r="G20" s="71">
        <f>'21 Elementos'!L54</f>
        <v>6.01</v>
      </c>
      <c r="H20" s="69">
        <f>'21 Elementos'!M53</f>
        <v>-36.82</v>
      </c>
      <c r="I20" s="70">
        <f>'21 Elementos'!M52</f>
        <v>7.8506122448979614</v>
      </c>
      <c r="J20" s="71">
        <f>'21 Elementos'!M54</f>
        <v>46.86</v>
      </c>
      <c r="L20" s="75"/>
      <c r="M20" s="76"/>
      <c r="N20" s="76"/>
      <c r="O20" s="76"/>
      <c r="P20" s="76"/>
      <c r="Q20" s="76"/>
      <c r="R20" s="76"/>
      <c r="S20" s="76"/>
      <c r="T20" s="76"/>
      <c r="U20" s="76"/>
      <c r="V20" s="77"/>
      <c r="X20" s="75"/>
      <c r="Y20" s="76"/>
      <c r="Z20" s="76"/>
      <c r="AA20" s="76"/>
      <c r="AB20" s="76"/>
      <c r="AC20" s="76"/>
      <c r="AD20" s="76"/>
      <c r="AE20" s="76"/>
      <c r="AF20" s="76"/>
      <c r="AG20" s="76"/>
      <c r="AH20" s="77"/>
    </row>
    <row r="21" spans="1:34" ht="18.75">
      <c r="A21" s="62" t="s">
        <v>620</v>
      </c>
      <c r="B21" s="73">
        <f t="shared" ref="B21:G21" si="1">AVERAGE(B15:B20)</f>
        <v>-1.4716666666666667</v>
      </c>
      <c r="C21" s="73">
        <f t="shared" si="1"/>
        <v>70.749693877551024</v>
      </c>
      <c r="D21" s="73">
        <f t="shared" si="1"/>
        <v>561.84</v>
      </c>
      <c r="E21" s="73">
        <f t="shared" si="1"/>
        <v>-703.59333333333325</v>
      </c>
      <c r="F21" s="73">
        <f t="shared" si="1"/>
        <v>-143.11139455782313</v>
      </c>
      <c r="G21" s="73">
        <f t="shared" si="1"/>
        <v>-3.9383333333333348</v>
      </c>
      <c r="H21" s="73">
        <f>AVERAGE(H18:H20)</f>
        <v>-173.09</v>
      </c>
      <c r="I21" s="73">
        <f>AVERAGE(I18:I20)</f>
        <v>-16.718299319727894</v>
      </c>
      <c r="J21" s="73">
        <f>AVERAGE(J18:J20)</f>
        <v>22.24</v>
      </c>
      <c r="L21" s="75"/>
      <c r="M21" s="76"/>
      <c r="N21" s="76"/>
      <c r="O21" s="76"/>
      <c r="P21" s="76"/>
      <c r="Q21" s="76"/>
      <c r="R21" s="76"/>
      <c r="S21" s="76"/>
      <c r="T21" s="76"/>
      <c r="U21" s="76"/>
      <c r="V21" s="77"/>
      <c r="X21" s="75"/>
      <c r="Y21" s="76"/>
      <c r="Z21" s="76"/>
      <c r="AA21" s="76"/>
      <c r="AB21" s="76"/>
      <c r="AC21" s="76"/>
      <c r="AD21" s="76"/>
      <c r="AE21" s="76"/>
      <c r="AF21" s="76"/>
      <c r="AG21" s="76"/>
      <c r="AH21" s="77"/>
    </row>
    <row r="22" spans="1:34">
      <c r="L22" s="75"/>
      <c r="M22" s="76"/>
      <c r="N22" s="76"/>
      <c r="O22" s="76"/>
      <c r="P22" s="76"/>
      <c r="Q22" s="76"/>
      <c r="R22" s="76"/>
      <c r="S22" s="76"/>
      <c r="T22" s="76"/>
      <c r="U22" s="76"/>
      <c r="V22" s="77"/>
      <c r="X22" s="75"/>
      <c r="Y22" s="76"/>
      <c r="Z22" s="76"/>
      <c r="AA22" s="76"/>
      <c r="AB22" s="76"/>
      <c r="AC22" s="76"/>
      <c r="AD22" s="76"/>
      <c r="AE22" s="76"/>
      <c r="AF22" s="76"/>
      <c r="AG22" s="76"/>
      <c r="AH22" s="77"/>
    </row>
    <row r="23" spans="1:34">
      <c r="L23" s="75"/>
      <c r="M23" s="76"/>
      <c r="N23" s="76"/>
      <c r="O23" s="76"/>
      <c r="P23" s="76"/>
      <c r="Q23" s="76"/>
      <c r="R23" s="76"/>
      <c r="S23" s="76"/>
      <c r="T23" s="76"/>
      <c r="U23" s="76"/>
      <c r="V23" s="77"/>
      <c r="X23" s="75"/>
      <c r="Y23" s="76"/>
      <c r="Z23" s="76"/>
      <c r="AA23" s="76"/>
      <c r="AB23" s="76"/>
      <c r="AC23" s="76"/>
      <c r="AD23" s="76"/>
      <c r="AE23" s="76"/>
      <c r="AF23" s="76"/>
      <c r="AG23" s="76"/>
      <c r="AH23" s="77"/>
    </row>
    <row r="24" spans="1:34">
      <c r="L24" s="75"/>
      <c r="M24" s="76"/>
      <c r="N24" s="76"/>
      <c r="O24" s="76"/>
      <c r="P24" s="76"/>
      <c r="Q24" s="76"/>
      <c r="R24" s="76"/>
      <c r="S24" s="76"/>
      <c r="T24" s="76"/>
      <c r="U24" s="76"/>
      <c r="V24" s="77"/>
      <c r="X24" s="75"/>
      <c r="Y24" s="76"/>
      <c r="Z24" s="76"/>
      <c r="AA24" s="76"/>
      <c r="AB24" s="76"/>
      <c r="AC24" s="76"/>
      <c r="AD24" s="76"/>
      <c r="AE24" s="76"/>
      <c r="AF24" s="76"/>
      <c r="AG24" s="76"/>
      <c r="AH24" s="77"/>
    </row>
    <row r="25" spans="1:34">
      <c r="A25" s="133" t="s">
        <v>683</v>
      </c>
      <c r="B25" s="133"/>
      <c r="C25" s="133"/>
      <c r="D25" s="133"/>
      <c r="E25" s="133"/>
      <c r="F25" s="133"/>
      <c r="G25" s="133"/>
      <c r="H25" s="133"/>
      <c r="I25" s="133"/>
      <c r="J25" s="133"/>
      <c r="L25" s="75"/>
      <c r="M25" s="76"/>
      <c r="N25" s="76"/>
      <c r="O25" s="76"/>
      <c r="P25" s="76"/>
      <c r="Q25" s="76"/>
      <c r="R25" s="76"/>
      <c r="S25" s="76"/>
      <c r="T25" s="76"/>
      <c r="U25" s="76"/>
      <c r="V25" s="77"/>
      <c r="X25" s="75"/>
      <c r="Y25" s="76"/>
      <c r="Z25" s="76"/>
      <c r="AA25" s="76"/>
      <c r="AB25" s="76"/>
      <c r="AC25" s="76"/>
      <c r="AD25" s="76"/>
      <c r="AE25" s="76"/>
      <c r="AF25" s="76"/>
      <c r="AG25" s="76"/>
      <c r="AH25" s="77"/>
    </row>
    <row r="26" spans="1:34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L26" s="75"/>
      <c r="M26" s="76"/>
      <c r="N26" s="76"/>
      <c r="O26" s="76"/>
      <c r="P26" s="76"/>
      <c r="Q26" s="76"/>
      <c r="R26" s="76"/>
      <c r="S26" s="76"/>
      <c r="T26" s="76"/>
      <c r="U26" s="76"/>
      <c r="V26" s="77"/>
      <c r="X26" s="75"/>
      <c r="Y26" s="76"/>
      <c r="Z26" s="76"/>
      <c r="AA26" s="76"/>
      <c r="AB26" s="76"/>
      <c r="AC26" s="76"/>
      <c r="AD26" s="76"/>
      <c r="AE26" s="76"/>
      <c r="AF26" s="76"/>
      <c r="AG26" s="76"/>
      <c r="AH26" s="77"/>
    </row>
    <row r="27" spans="1:34" ht="30">
      <c r="A27" s="130" t="s">
        <v>676</v>
      </c>
      <c r="B27" s="126" t="s">
        <v>686</v>
      </c>
      <c r="C27" s="126"/>
      <c r="D27" s="127" t="s">
        <v>685</v>
      </c>
      <c r="E27" s="128"/>
      <c r="F27" s="129" t="s">
        <v>684</v>
      </c>
      <c r="G27" s="129"/>
      <c r="H27" s="129"/>
      <c r="I27" s="131" t="s">
        <v>529</v>
      </c>
      <c r="J27" s="132" t="s">
        <v>579</v>
      </c>
      <c r="L27" s="75"/>
      <c r="M27" s="76"/>
      <c r="N27" s="76"/>
      <c r="O27" s="76"/>
      <c r="P27" s="76"/>
      <c r="Q27" s="76"/>
      <c r="R27" s="76"/>
      <c r="S27" s="76"/>
      <c r="T27" s="76"/>
      <c r="U27" s="76"/>
      <c r="V27" s="77"/>
      <c r="X27" s="75"/>
      <c r="Y27" s="76"/>
      <c r="Z27" s="76"/>
      <c r="AA27" s="76"/>
      <c r="AB27" s="76"/>
      <c r="AC27" s="76"/>
      <c r="AD27" s="76"/>
      <c r="AE27" s="76"/>
      <c r="AF27" s="76"/>
      <c r="AG27" s="76"/>
      <c r="AH27" s="77"/>
    </row>
    <row r="28" spans="1:34" ht="18.75">
      <c r="A28" s="121">
        <v>1</v>
      </c>
      <c r="B28" s="135">
        <v>0.35</v>
      </c>
      <c r="C28" s="135"/>
      <c r="D28" s="136">
        <v>0.33</v>
      </c>
      <c r="E28" s="137"/>
      <c r="F28" s="135">
        <v>0.27</v>
      </c>
      <c r="G28" s="135"/>
      <c r="H28" s="135"/>
      <c r="I28" s="139">
        <f>B28/D28</f>
        <v>1.0606060606060606</v>
      </c>
      <c r="J28" s="139">
        <f>B28/F28</f>
        <v>1.2962962962962961</v>
      </c>
      <c r="L28" s="75"/>
      <c r="M28" s="76"/>
      <c r="N28" s="76"/>
      <c r="O28" s="76"/>
      <c r="P28" s="76"/>
      <c r="Q28" s="76"/>
      <c r="R28" s="76"/>
      <c r="S28" s="76"/>
      <c r="T28" s="76"/>
      <c r="U28" s="76"/>
      <c r="V28" s="77"/>
      <c r="X28" s="75"/>
      <c r="Y28" s="76"/>
      <c r="Z28" s="76"/>
      <c r="AA28" s="76"/>
      <c r="AB28" s="76"/>
      <c r="AC28" s="76"/>
      <c r="AD28" s="76"/>
      <c r="AE28" s="76"/>
      <c r="AF28" s="76"/>
      <c r="AG28" s="76"/>
      <c r="AH28" s="77"/>
    </row>
    <row r="29" spans="1:34" ht="18.75">
      <c r="A29" s="121">
        <v>2</v>
      </c>
      <c r="B29" s="135">
        <v>829.35</v>
      </c>
      <c r="C29" s="135"/>
      <c r="D29" s="136">
        <v>148.22</v>
      </c>
      <c r="E29" s="137"/>
      <c r="F29" s="135">
        <v>4.28</v>
      </c>
      <c r="G29" s="135"/>
      <c r="H29" s="135"/>
      <c r="I29" s="139">
        <f t="shared" ref="I29:I32" si="2">B29/D29</f>
        <v>5.595398731615167</v>
      </c>
      <c r="J29" s="139">
        <f t="shared" ref="J29:J32" si="3">B29/F29</f>
        <v>193.77336448598129</v>
      </c>
      <c r="L29" s="75"/>
      <c r="M29" s="76"/>
      <c r="N29" s="76"/>
      <c r="O29" s="76"/>
      <c r="P29" s="76"/>
      <c r="Q29" s="76"/>
      <c r="R29" s="76"/>
      <c r="S29" s="76"/>
      <c r="T29" s="76"/>
      <c r="U29" s="76"/>
      <c r="V29" s="77"/>
      <c r="X29" s="75"/>
      <c r="Y29" s="76"/>
      <c r="Z29" s="76"/>
      <c r="AA29" s="76"/>
      <c r="AB29" s="76"/>
      <c r="AC29" s="76"/>
      <c r="AD29" s="76"/>
      <c r="AE29" s="76"/>
      <c r="AF29" s="76"/>
      <c r="AG29" s="76"/>
      <c r="AH29" s="77"/>
    </row>
    <row r="30" spans="1:34" ht="18.75">
      <c r="A30" s="121">
        <v>3</v>
      </c>
      <c r="B30" s="135">
        <v>14.05</v>
      </c>
      <c r="C30" s="135"/>
      <c r="D30" s="136">
        <v>20.03</v>
      </c>
      <c r="E30" s="137"/>
      <c r="F30" s="135">
        <v>13.32</v>
      </c>
      <c r="G30" s="135"/>
      <c r="H30" s="135"/>
      <c r="I30" s="139">
        <f t="shared" si="2"/>
        <v>0.70144782825761354</v>
      </c>
      <c r="J30" s="139">
        <f t="shared" si="3"/>
        <v>1.0548048048048049</v>
      </c>
      <c r="L30" s="75"/>
      <c r="M30" s="76"/>
      <c r="N30" s="76"/>
      <c r="O30" s="76"/>
      <c r="P30" s="76"/>
      <c r="Q30" s="76"/>
      <c r="R30" s="76"/>
      <c r="S30" s="76"/>
      <c r="T30" s="76"/>
      <c r="U30" s="76"/>
      <c r="V30" s="77"/>
      <c r="X30" s="75"/>
      <c r="Y30" s="76"/>
      <c r="Z30" s="76"/>
      <c r="AA30" s="76"/>
      <c r="AB30" s="76"/>
      <c r="AC30" s="76"/>
      <c r="AD30" s="76"/>
      <c r="AE30" s="76"/>
      <c r="AF30" s="76"/>
      <c r="AG30" s="76"/>
      <c r="AH30" s="77"/>
    </row>
    <row r="31" spans="1:34" ht="18.75">
      <c r="A31" s="121">
        <v>4</v>
      </c>
      <c r="B31" s="135">
        <v>0.23</v>
      </c>
      <c r="C31" s="135"/>
      <c r="D31" s="135">
        <v>22.95</v>
      </c>
      <c r="E31" s="135"/>
      <c r="F31" s="135">
        <v>23.72</v>
      </c>
      <c r="G31" s="135"/>
      <c r="H31" s="135"/>
      <c r="I31" s="139">
        <f t="shared" si="2"/>
        <v>1.0021786492374729E-2</v>
      </c>
      <c r="J31" s="139">
        <f t="shared" si="3"/>
        <v>9.6964586846543018E-3</v>
      </c>
      <c r="L31" s="75"/>
      <c r="M31" s="76"/>
      <c r="N31" s="76"/>
      <c r="O31" s="76"/>
      <c r="P31" s="76"/>
      <c r="Q31" s="76"/>
      <c r="R31" s="76"/>
      <c r="S31" s="76"/>
      <c r="T31" s="76"/>
      <c r="U31" s="76"/>
      <c r="V31" s="77"/>
      <c r="X31" s="75"/>
      <c r="Y31" s="76"/>
      <c r="Z31" s="76"/>
      <c r="AA31" s="76"/>
      <c r="AB31" s="76"/>
      <c r="AC31" s="76"/>
      <c r="AD31" s="76"/>
      <c r="AE31" s="76"/>
      <c r="AF31" s="76"/>
      <c r="AG31" s="76"/>
      <c r="AH31" s="77"/>
    </row>
    <row r="32" spans="1:34" ht="18.75">
      <c r="A32" s="125">
        <v>5</v>
      </c>
      <c r="B32" s="138">
        <f>SUM(B28:C31)</f>
        <v>843.98</v>
      </c>
      <c r="C32" s="138"/>
      <c r="D32" s="138">
        <f>SUM(D28:E31)</f>
        <v>191.53</v>
      </c>
      <c r="E32" s="138"/>
      <c r="F32" s="138">
        <f>SUM(F28:H31)</f>
        <v>41.59</v>
      </c>
      <c r="G32" s="138"/>
      <c r="H32" s="138"/>
      <c r="I32" s="73">
        <f>B32/D32</f>
        <v>4.4065159505038372</v>
      </c>
      <c r="J32" s="73">
        <f>B32/F32</f>
        <v>20.292858860302957</v>
      </c>
      <c r="L32" s="75"/>
      <c r="M32" s="76"/>
      <c r="N32" s="76"/>
      <c r="O32" s="76"/>
      <c r="P32" s="76"/>
      <c r="Q32" s="76"/>
      <c r="R32" s="76"/>
      <c r="S32" s="76"/>
      <c r="T32" s="76"/>
      <c r="U32" s="76"/>
      <c r="V32" s="77"/>
      <c r="X32" s="75"/>
      <c r="Y32" s="76"/>
      <c r="Z32" s="76"/>
      <c r="AA32" s="76"/>
      <c r="AB32" s="76"/>
      <c r="AC32" s="76"/>
      <c r="AD32" s="76"/>
      <c r="AE32" s="76"/>
      <c r="AF32" s="76"/>
      <c r="AG32" s="76"/>
      <c r="AH32" s="77"/>
    </row>
    <row r="33" spans="1:34">
      <c r="L33" s="75"/>
      <c r="M33" s="76"/>
      <c r="N33" s="76"/>
      <c r="O33" s="76"/>
      <c r="P33" s="76"/>
      <c r="Q33" s="76"/>
      <c r="R33" s="76"/>
      <c r="S33" s="76"/>
      <c r="T33" s="76"/>
      <c r="U33" s="76"/>
      <c r="V33" s="77"/>
      <c r="X33" s="75"/>
      <c r="Y33" s="76"/>
      <c r="Z33" s="76"/>
      <c r="AA33" s="76"/>
      <c r="AB33" s="76"/>
      <c r="AC33" s="76"/>
      <c r="AD33" s="76"/>
      <c r="AE33" s="76"/>
      <c r="AF33" s="76"/>
      <c r="AG33" s="76"/>
      <c r="AH33" s="77"/>
    </row>
    <row r="34" spans="1:34" ht="19.5" thickBot="1">
      <c r="A34" s="123">
        <v>1</v>
      </c>
      <c r="B34" s="124" t="s">
        <v>678</v>
      </c>
      <c r="C34" s="124"/>
      <c r="D34" s="124"/>
      <c r="E34" s="124"/>
      <c r="F34" s="124"/>
      <c r="G34" s="124"/>
      <c r="H34" s="124"/>
      <c r="I34" s="124"/>
      <c r="J34" s="124"/>
      <c r="L34" s="75"/>
      <c r="M34" s="76"/>
      <c r="N34" s="76"/>
      <c r="O34" s="76"/>
      <c r="P34" s="76"/>
      <c r="Q34" s="76"/>
      <c r="R34" s="76"/>
      <c r="S34" s="76"/>
      <c r="T34" s="76"/>
      <c r="U34" s="76"/>
      <c r="V34" s="77"/>
      <c r="X34" s="78"/>
      <c r="Y34" s="79"/>
      <c r="Z34" s="79"/>
      <c r="AA34" s="79"/>
      <c r="AB34" s="79"/>
      <c r="AC34" s="79"/>
      <c r="AD34" s="79"/>
      <c r="AE34" s="79"/>
      <c r="AF34" s="79"/>
      <c r="AG34" s="79"/>
      <c r="AH34" s="80"/>
    </row>
    <row r="35" spans="1:34" ht="18.75">
      <c r="A35" s="123">
        <v>2</v>
      </c>
      <c r="B35" s="124" t="s">
        <v>677</v>
      </c>
      <c r="C35" s="124"/>
      <c r="D35" s="124"/>
      <c r="E35" s="124"/>
      <c r="F35" s="124"/>
      <c r="G35" s="124"/>
      <c r="H35" s="124"/>
      <c r="I35" s="124"/>
      <c r="J35" s="124"/>
      <c r="L35" s="75"/>
      <c r="M35" s="76"/>
      <c r="N35" s="76"/>
      <c r="O35" s="76"/>
      <c r="P35" s="76"/>
      <c r="Q35" s="76"/>
      <c r="R35" s="76"/>
      <c r="S35" s="76"/>
      <c r="T35" s="76"/>
      <c r="U35" s="76"/>
      <c r="V35" s="77"/>
    </row>
    <row r="36" spans="1:34" ht="18.75">
      <c r="A36" s="123">
        <v>3</v>
      </c>
      <c r="B36" s="124" t="s">
        <v>679</v>
      </c>
      <c r="C36" s="124"/>
      <c r="D36" s="124"/>
      <c r="E36" s="124"/>
      <c r="F36" s="124"/>
      <c r="G36" s="124"/>
      <c r="H36" s="124"/>
      <c r="I36" s="124"/>
      <c r="J36" s="124"/>
      <c r="L36" s="75"/>
      <c r="M36" s="76"/>
      <c r="N36" s="76"/>
      <c r="O36" s="76"/>
      <c r="P36" s="76"/>
      <c r="Q36" s="76"/>
      <c r="R36" s="76"/>
      <c r="S36" s="76"/>
      <c r="T36" s="76"/>
      <c r="U36" s="76"/>
      <c r="V36" s="77"/>
    </row>
    <row r="37" spans="1:34" ht="18.75">
      <c r="A37" s="123">
        <v>4</v>
      </c>
      <c r="B37" s="124" t="s">
        <v>680</v>
      </c>
      <c r="C37" s="124"/>
      <c r="D37" s="124"/>
      <c r="E37" s="124"/>
      <c r="F37" s="124"/>
      <c r="G37" s="124"/>
      <c r="H37" s="124"/>
      <c r="I37" s="124"/>
      <c r="J37" s="124"/>
      <c r="L37" s="75"/>
      <c r="M37" s="76"/>
      <c r="N37" s="76"/>
      <c r="O37" s="76"/>
      <c r="P37" s="76"/>
      <c r="Q37" s="76"/>
      <c r="R37" s="76"/>
      <c r="S37" s="76"/>
      <c r="T37" s="76"/>
      <c r="U37" s="76"/>
      <c r="V37" s="77"/>
    </row>
    <row r="38" spans="1:34" ht="18.75">
      <c r="A38" s="123">
        <v>5</v>
      </c>
      <c r="B38" s="124" t="s">
        <v>681</v>
      </c>
      <c r="C38" s="124"/>
      <c r="D38" s="124"/>
      <c r="E38" s="124"/>
      <c r="F38" s="124"/>
      <c r="G38" s="124"/>
      <c r="H38" s="124"/>
      <c r="I38" s="124"/>
      <c r="J38" s="124"/>
      <c r="L38" s="75"/>
      <c r="M38" s="76"/>
      <c r="N38" s="76"/>
      <c r="O38" s="76"/>
      <c r="P38" s="76"/>
      <c r="Q38" s="76"/>
      <c r="R38" s="76"/>
      <c r="S38" s="76"/>
      <c r="T38" s="76"/>
      <c r="U38" s="76"/>
      <c r="V38" s="77"/>
    </row>
    <row r="39" spans="1:34" ht="18.75">
      <c r="A39" s="122"/>
      <c r="H39" s="76"/>
      <c r="L39" s="75"/>
      <c r="M39" s="76"/>
      <c r="N39" s="76"/>
      <c r="O39" s="76"/>
      <c r="P39" s="76"/>
      <c r="Q39" s="76"/>
      <c r="R39" s="76"/>
      <c r="S39" s="76"/>
      <c r="T39" s="76"/>
      <c r="U39" s="76"/>
      <c r="V39" s="77"/>
    </row>
    <row r="40" spans="1:34" ht="15" customHeight="1">
      <c r="L40" s="75"/>
      <c r="M40" s="76"/>
      <c r="N40" s="76"/>
      <c r="O40" s="76"/>
      <c r="P40" s="76"/>
      <c r="Q40" s="76"/>
      <c r="R40" s="76"/>
      <c r="S40" s="76"/>
      <c r="T40" s="76"/>
      <c r="U40" s="76"/>
      <c r="V40" s="77"/>
    </row>
    <row r="41" spans="1:34" ht="15" customHeight="1">
      <c r="L41" s="75"/>
      <c r="M41" s="76"/>
      <c r="N41" s="76"/>
      <c r="O41" s="76"/>
      <c r="P41" s="76"/>
      <c r="Q41" s="76"/>
      <c r="R41" s="76"/>
      <c r="S41" s="76"/>
      <c r="T41" s="76"/>
      <c r="U41" s="76"/>
      <c r="V41" s="77"/>
    </row>
    <row r="42" spans="1:34">
      <c r="L42" s="75"/>
      <c r="M42" s="76"/>
      <c r="N42" s="76"/>
      <c r="O42" s="76"/>
      <c r="P42" s="76"/>
      <c r="Q42" s="76"/>
      <c r="R42" s="76"/>
      <c r="S42" s="76"/>
      <c r="T42" s="76"/>
      <c r="U42" s="76"/>
      <c r="V42" s="77"/>
    </row>
    <row r="43" spans="1:34">
      <c r="L43" s="75"/>
      <c r="M43" s="76"/>
      <c r="N43" s="76"/>
      <c r="O43" s="76"/>
      <c r="P43" s="76"/>
      <c r="Q43" s="76"/>
      <c r="R43" s="76"/>
      <c r="S43" s="76"/>
      <c r="T43" s="76"/>
      <c r="U43" s="76"/>
      <c r="V43" s="77"/>
    </row>
    <row r="44" spans="1:34">
      <c r="L44" s="75"/>
      <c r="M44" s="76"/>
      <c r="N44" s="76"/>
      <c r="O44" s="76"/>
      <c r="P44" s="76"/>
      <c r="Q44" s="76"/>
      <c r="R44" s="76"/>
      <c r="S44" s="76"/>
      <c r="T44" s="76"/>
      <c r="U44" s="76"/>
      <c r="V44" s="77"/>
    </row>
    <row r="45" spans="1:34">
      <c r="L45" s="75"/>
      <c r="M45" s="76"/>
      <c r="N45" s="76"/>
      <c r="O45" s="76"/>
      <c r="P45" s="76"/>
      <c r="Q45" s="76"/>
      <c r="R45" s="76"/>
      <c r="S45" s="76"/>
      <c r="T45" s="76"/>
      <c r="U45" s="76"/>
      <c r="V45" s="77"/>
    </row>
    <row r="46" spans="1:34">
      <c r="L46" s="75"/>
      <c r="M46" s="76"/>
      <c r="N46" s="76"/>
      <c r="O46" s="76"/>
      <c r="P46" s="76"/>
      <c r="Q46" s="76"/>
      <c r="R46" s="76"/>
      <c r="S46" s="76"/>
      <c r="T46" s="76"/>
      <c r="U46" s="76"/>
      <c r="V46" s="77"/>
    </row>
    <row r="47" spans="1:34">
      <c r="L47" s="75"/>
      <c r="M47" s="76"/>
      <c r="N47" s="76"/>
      <c r="O47" s="76"/>
      <c r="P47" s="76"/>
      <c r="Q47" s="76"/>
      <c r="R47" s="76"/>
      <c r="S47" s="76"/>
      <c r="T47" s="76"/>
      <c r="U47" s="76"/>
      <c r="V47" s="77"/>
    </row>
    <row r="48" spans="1:34">
      <c r="L48" s="75"/>
      <c r="M48" s="76"/>
      <c r="N48" s="76"/>
      <c r="O48" s="76"/>
      <c r="P48" s="76"/>
      <c r="Q48" s="76"/>
      <c r="R48" s="76"/>
      <c r="S48" s="76"/>
      <c r="T48" s="76"/>
      <c r="U48" s="76"/>
      <c r="V48" s="77"/>
    </row>
    <row r="49" spans="10:23">
      <c r="L49" s="75"/>
      <c r="M49" s="76"/>
      <c r="N49" s="76"/>
      <c r="O49" s="76"/>
      <c r="P49" s="76"/>
      <c r="Q49" s="76"/>
      <c r="R49" s="76"/>
      <c r="S49" s="76"/>
      <c r="T49" s="76"/>
      <c r="U49" s="76"/>
      <c r="V49" s="77"/>
    </row>
    <row r="50" spans="10:23">
      <c r="L50" s="75"/>
      <c r="M50" s="76"/>
      <c r="N50" s="76"/>
      <c r="O50" s="76"/>
      <c r="P50" s="76"/>
      <c r="Q50" s="76"/>
      <c r="R50" s="76"/>
      <c r="S50" s="76"/>
      <c r="T50" s="76"/>
      <c r="U50" s="76"/>
      <c r="V50" s="77"/>
      <c r="W50" s="76"/>
    </row>
    <row r="51" spans="10:23">
      <c r="L51" s="75"/>
      <c r="M51" s="76"/>
      <c r="N51" s="76"/>
      <c r="O51" s="76"/>
      <c r="P51" s="76"/>
      <c r="Q51" s="76"/>
      <c r="R51" s="76"/>
      <c r="S51" s="76"/>
      <c r="T51" s="76"/>
      <c r="U51" s="76"/>
      <c r="V51" s="77"/>
    </row>
    <row r="52" spans="10:23">
      <c r="L52" s="75"/>
      <c r="M52" s="76"/>
      <c r="N52" s="76"/>
      <c r="O52" s="76"/>
      <c r="P52" s="76"/>
      <c r="Q52" s="76"/>
      <c r="R52" s="76"/>
      <c r="S52" s="76"/>
      <c r="T52" s="76"/>
      <c r="U52" s="76"/>
      <c r="V52" s="77"/>
    </row>
    <row r="53" spans="10:23">
      <c r="J53" s="76"/>
      <c r="K53" s="76"/>
      <c r="L53" s="75"/>
      <c r="M53" s="76"/>
      <c r="N53" s="76"/>
      <c r="O53" s="76"/>
      <c r="P53" s="76"/>
      <c r="Q53" s="76"/>
      <c r="R53" s="76"/>
      <c r="S53" s="76"/>
      <c r="T53" s="76"/>
      <c r="U53" s="76"/>
      <c r="V53" s="77"/>
      <c r="W53" s="76"/>
    </row>
    <row r="54" spans="10:23">
      <c r="J54" s="76"/>
      <c r="K54" s="76"/>
      <c r="L54" s="75"/>
      <c r="M54" s="76"/>
      <c r="N54" s="76"/>
      <c r="O54" s="76"/>
      <c r="P54" s="76"/>
      <c r="Q54" s="76"/>
      <c r="R54" s="76"/>
      <c r="S54" s="76"/>
      <c r="T54" s="76"/>
      <c r="U54" s="76"/>
      <c r="V54" s="77"/>
      <c r="W54" s="76"/>
    </row>
    <row r="55" spans="10:23">
      <c r="J55" s="76"/>
      <c r="K55" s="76"/>
      <c r="L55" s="75"/>
      <c r="M55" s="76"/>
      <c r="N55" s="76"/>
      <c r="O55" s="76"/>
      <c r="P55" s="76"/>
      <c r="Q55" s="76"/>
      <c r="R55" s="76"/>
      <c r="S55" s="76"/>
      <c r="T55" s="76"/>
      <c r="U55" s="76"/>
      <c r="V55" s="77"/>
      <c r="W55" s="76"/>
    </row>
    <row r="56" spans="10:23">
      <c r="J56" s="76"/>
      <c r="K56" s="76"/>
      <c r="L56" s="75"/>
      <c r="M56" s="76"/>
      <c r="N56" s="76"/>
      <c r="O56" s="76"/>
      <c r="P56" s="76"/>
      <c r="Q56" s="76"/>
      <c r="R56" s="76"/>
      <c r="S56" s="76"/>
      <c r="T56" s="76"/>
      <c r="U56" s="76"/>
      <c r="V56" s="77"/>
      <c r="W56" s="76"/>
    </row>
    <row r="57" spans="10:23">
      <c r="J57" s="76"/>
      <c r="K57" s="76"/>
      <c r="L57" s="75"/>
      <c r="M57" s="76"/>
      <c r="N57" s="76"/>
      <c r="O57" s="76"/>
      <c r="P57" s="76"/>
      <c r="Q57" s="76"/>
      <c r="R57" s="76"/>
      <c r="S57" s="76"/>
      <c r="T57" s="76"/>
      <c r="U57" s="76"/>
      <c r="V57" s="77"/>
      <c r="W57" s="76"/>
    </row>
    <row r="58" spans="10:23">
      <c r="J58" s="76"/>
      <c r="K58" s="76"/>
      <c r="L58" s="75"/>
      <c r="M58" s="76"/>
      <c r="N58" s="76"/>
      <c r="O58" s="76"/>
      <c r="P58" s="76"/>
      <c r="Q58" s="76"/>
      <c r="R58" s="76"/>
      <c r="S58" s="76"/>
      <c r="T58" s="76"/>
      <c r="U58" s="76"/>
      <c r="V58" s="77"/>
      <c r="W58" s="76"/>
    </row>
    <row r="59" spans="10:23" ht="15.75" thickBot="1">
      <c r="J59" s="76"/>
      <c r="K59" s="76"/>
      <c r="L59" s="78"/>
      <c r="M59" s="79"/>
      <c r="N59" s="79"/>
      <c r="O59" s="79"/>
      <c r="P59" s="79"/>
      <c r="Q59" s="79"/>
      <c r="R59" s="79"/>
      <c r="S59" s="79"/>
      <c r="T59" s="79"/>
      <c r="U59" s="79"/>
      <c r="V59" s="80"/>
      <c r="W59" s="76"/>
    </row>
  </sheetData>
  <mergeCells count="35">
    <mergeCell ref="A25:J26"/>
    <mergeCell ref="B34:J34"/>
    <mergeCell ref="B35:J35"/>
    <mergeCell ref="B36:J36"/>
    <mergeCell ref="B37:J37"/>
    <mergeCell ref="B38:J38"/>
    <mergeCell ref="B32:C32"/>
    <mergeCell ref="D31:E31"/>
    <mergeCell ref="D32:E32"/>
    <mergeCell ref="F31:H31"/>
    <mergeCell ref="F32:H32"/>
    <mergeCell ref="F27:H27"/>
    <mergeCell ref="F28:H28"/>
    <mergeCell ref="F29:H29"/>
    <mergeCell ref="F30:H30"/>
    <mergeCell ref="B31:C31"/>
    <mergeCell ref="X1:AH1"/>
    <mergeCell ref="B27:C27"/>
    <mergeCell ref="B28:C28"/>
    <mergeCell ref="A12:J12"/>
    <mergeCell ref="B13:D13"/>
    <mergeCell ref="E13:G13"/>
    <mergeCell ref="H13:J13"/>
    <mergeCell ref="L1:V1"/>
    <mergeCell ref="L18:V18"/>
    <mergeCell ref="B2:D2"/>
    <mergeCell ref="E2:G2"/>
    <mergeCell ref="H2:J2"/>
    <mergeCell ref="A1:J1"/>
    <mergeCell ref="D27:E27"/>
    <mergeCell ref="D28:E28"/>
    <mergeCell ref="B29:C29"/>
    <mergeCell ref="B30:C30"/>
    <mergeCell ref="D29:E29"/>
    <mergeCell ref="D30:E3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CB58-E47F-4D67-9128-0E093C9B1AEB}">
  <dimension ref="A1:H26"/>
  <sheetViews>
    <sheetView workbookViewId="0">
      <selection activeCell="Q13" sqref="Q13"/>
    </sheetView>
  </sheetViews>
  <sheetFormatPr baseColWidth="10" defaultRowHeight="15"/>
  <cols>
    <col min="1" max="1" width="16.7109375" customWidth="1"/>
    <col min="2" max="2" width="40" bestFit="1" customWidth="1"/>
  </cols>
  <sheetData>
    <row r="1" spans="1:8" ht="27" customHeight="1">
      <c r="A1" s="112" t="s">
        <v>164</v>
      </c>
      <c r="B1" s="112"/>
      <c r="C1" s="112"/>
      <c r="D1" s="112"/>
      <c r="E1" s="112"/>
      <c r="F1" s="112"/>
      <c r="G1" s="112"/>
      <c r="H1" s="112"/>
    </row>
    <row r="2" spans="1:8" ht="15.75">
      <c r="A2" s="4" t="s">
        <v>165</v>
      </c>
      <c r="B2" s="2" t="s">
        <v>175</v>
      </c>
      <c r="C2" s="2"/>
    </row>
    <row r="3" spans="1:8" ht="15.75">
      <c r="A3" s="3"/>
      <c r="B3" s="2" t="s">
        <v>166</v>
      </c>
      <c r="C3" s="2"/>
    </row>
    <row r="4" spans="1:8" ht="15.75">
      <c r="A4" s="3"/>
      <c r="B4" s="2" t="s">
        <v>167</v>
      </c>
      <c r="C4" s="2"/>
    </row>
    <row r="5" spans="1:8" ht="15.75">
      <c r="A5" s="3"/>
      <c r="B5" s="2" t="s">
        <v>168</v>
      </c>
      <c r="C5" s="2"/>
    </row>
    <row r="6" spans="1:8" ht="15.75">
      <c r="A6" s="3"/>
      <c r="B6" s="2" t="s">
        <v>169</v>
      </c>
      <c r="C6" s="2"/>
    </row>
    <row r="8" spans="1:8" ht="15.75">
      <c r="A8" s="4" t="s">
        <v>170</v>
      </c>
      <c r="B8" s="2" t="s">
        <v>171</v>
      </c>
      <c r="C8" s="2"/>
    </row>
    <row r="9" spans="1:8" ht="15.75">
      <c r="A9" s="2"/>
      <c r="B9" s="2" t="s">
        <v>172</v>
      </c>
      <c r="C9" s="2"/>
    </row>
    <row r="10" spans="1:8" ht="15.75">
      <c r="A10" s="2"/>
      <c r="B10" s="2" t="s">
        <v>173</v>
      </c>
      <c r="C10" s="2"/>
    </row>
    <row r="11" spans="1:8" ht="15.75">
      <c r="A11" s="2"/>
      <c r="B11" s="2" t="s">
        <v>174</v>
      </c>
      <c r="C11" s="2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Plantilla</vt:lpstr>
      <vt:lpstr>3 Elementos</vt:lpstr>
      <vt:lpstr>5 Elementos</vt:lpstr>
      <vt:lpstr>10 Elementos</vt:lpstr>
      <vt:lpstr>15 Elementos</vt:lpstr>
      <vt:lpstr>20 Elementos</vt:lpstr>
      <vt:lpstr>21 Elementos</vt:lpstr>
      <vt:lpstr>Resumen</vt:lpstr>
      <vt:lpstr>Especificaciones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Lopez</dc:creator>
  <cp:lastModifiedBy>Kevin Lopez</cp:lastModifiedBy>
  <dcterms:created xsi:type="dcterms:W3CDTF">2025-02-12T04:09:58Z</dcterms:created>
  <dcterms:modified xsi:type="dcterms:W3CDTF">2025-06-09T00:01:23Z</dcterms:modified>
</cp:coreProperties>
</file>